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总览" sheetId="1" state="visible" r:id="rId1"/>
    <sheet xmlns:r="http://schemas.openxmlformats.org/officeDocument/2006/relationships" name="图纸缺口计算器" sheetId="2" state="visible" r:id="rId2"/>
    <sheet xmlns:r="http://schemas.openxmlformats.org/officeDocument/2006/relationships" name="补货清单" sheetId="3" state="visible" r:id="rId3"/>
    <sheet xmlns:r="http://schemas.openxmlformats.org/officeDocument/2006/relationships" name="使用说明" sheetId="4" state="visible" r:id="rId4"/>
  </sheets>
  <definedNames>
    <definedName name="_xlnm._FilterDatabase" localSheetId="0" hidden="1">'库存总览'!$A$5:$I$226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1F1F1F"/>
      <sz val="14"/>
    </font>
    <font>
      <name val="微软雅黑"/>
      <color rgb="00808080"/>
      <sz val="9"/>
    </font>
    <font>
      <name val="微软雅黑"/>
      <sz val="10"/>
    </font>
    <font>
      <name val="微软雅黑"/>
      <b val="1"/>
      <color rgb="00C00000"/>
      <sz val="10"/>
    </font>
    <font>
      <name val="微软雅黑"/>
      <b val="1"/>
      <color rgb="00FFFFFF"/>
      <sz val="10"/>
    </font>
    <font>
      <name val="Consolas"/>
      <b val="1"/>
      <sz val="10"/>
    </font>
    <font>
      <name val="微软雅黑"/>
      <color rgb="00C00000"/>
      <sz val="9"/>
    </font>
  </fonts>
  <fills count="225">
    <fill>
      <patternFill/>
    </fill>
    <fill>
      <patternFill patternType="gray125"/>
    </fill>
    <fill>
      <patternFill patternType="solid">
        <fgColor rgb="00FFF7E6"/>
      </patternFill>
    </fill>
    <fill>
      <patternFill patternType="solid">
        <fgColor rgb="00404040"/>
      </patternFill>
    </fill>
    <fill>
      <patternFill patternType="solid">
        <fgColor rgb="00FAF5CD"/>
      </patternFill>
    </fill>
    <fill>
      <patternFill patternType="solid">
        <fgColor rgb="00FCFED6"/>
      </patternFill>
    </fill>
    <fill>
      <patternFill patternType="solid">
        <fgColor rgb="00FCFF92"/>
      </patternFill>
    </fill>
    <fill>
      <patternFill patternType="solid">
        <fgColor rgb="00F7EC5C"/>
      </patternFill>
    </fill>
    <fill>
      <patternFill patternType="solid">
        <fgColor rgb="00FFE44B"/>
      </patternFill>
    </fill>
    <fill>
      <patternFill patternType="solid">
        <fgColor rgb="00FDA951"/>
      </patternFill>
    </fill>
    <fill>
      <patternFill patternType="solid">
        <fgColor rgb="00FA8C4F"/>
      </patternFill>
    </fill>
    <fill>
      <patternFill patternType="solid">
        <fgColor rgb="00F9E045"/>
      </patternFill>
    </fill>
    <fill>
      <patternFill patternType="solid">
        <fgColor rgb="00F99C5F"/>
      </patternFill>
    </fill>
    <fill>
      <patternFill patternType="solid">
        <fgColor rgb="00F47E36"/>
      </patternFill>
    </fill>
    <fill>
      <patternFill patternType="solid">
        <fgColor rgb="00FEDB99"/>
      </patternFill>
    </fill>
    <fill>
      <patternFill patternType="solid">
        <fgColor rgb="00FDA276"/>
      </patternFill>
    </fill>
    <fill>
      <patternFill patternType="solid">
        <fgColor rgb="00FEC667"/>
      </patternFill>
    </fill>
    <fill>
      <patternFill patternType="solid">
        <fgColor rgb="00F85842"/>
      </patternFill>
    </fill>
    <fill>
      <patternFill patternType="solid">
        <fgColor rgb="00FBF65E"/>
      </patternFill>
    </fill>
    <fill>
      <patternFill patternType="solid">
        <fgColor rgb="00FEFF97"/>
      </patternFill>
    </fill>
    <fill>
      <patternFill patternType="solid">
        <fgColor rgb="00FDE173"/>
      </patternFill>
    </fill>
    <fill>
      <patternFill patternType="solid">
        <fgColor rgb="00FCBF80"/>
      </patternFill>
    </fill>
    <fill>
      <patternFill patternType="solid">
        <fgColor rgb="00FD7E77"/>
      </patternFill>
    </fill>
    <fill>
      <patternFill patternType="solid">
        <fgColor rgb="00F9D66E"/>
      </patternFill>
    </fill>
    <fill>
      <patternFill patternType="solid">
        <fgColor rgb="00FAE393"/>
      </patternFill>
    </fill>
    <fill>
      <patternFill patternType="solid">
        <fgColor rgb="00EDF878"/>
      </patternFill>
    </fill>
    <fill>
      <patternFill patternType="solid">
        <fgColor rgb="00E1C9BD"/>
      </patternFill>
    </fill>
    <fill>
      <patternFill patternType="solid">
        <fgColor rgb="00F3F6A9"/>
      </patternFill>
    </fill>
    <fill>
      <patternFill patternType="solid">
        <fgColor rgb="00FFD785"/>
      </patternFill>
    </fill>
    <fill>
      <patternFill patternType="solid">
        <fgColor rgb="00FEC832"/>
      </patternFill>
    </fill>
    <fill>
      <patternFill patternType="solid">
        <fgColor rgb="00DFF139"/>
      </patternFill>
    </fill>
    <fill>
      <patternFill patternType="solid">
        <fgColor rgb="0064F343"/>
      </patternFill>
    </fill>
    <fill>
      <patternFill patternType="solid">
        <fgColor rgb="009FF685"/>
      </patternFill>
    </fill>
    <fill>
      <patternFill patternType="solid">
        <fgColor rgb="005FDF34"/>
      </patternFill>
    </fill>
    <fill>
      <patternFill patternType="solid">
        <fgColor rgb="0039E158"/>
      </patternFill>
    </fill>
    <fill>
      <patternFill patternType="solid">
        <fgColor rgb="0064E0A4"/>
      </patternFill>
    </fill>
    <fill>
      <patternFill patternType="solid">
        <fgColor rgb="003FAE7C"/>
      </patternFill>
    </fill>
    <fill>
      <patternFill patternType="solid">
        <fgColor rgb="001D9E54"/>
      </patternFill>
    </fill>
    <fill>
      <patternFill patternType="solid">
        <fgColor rgb="002A5037"/>
      </patternFill>
    </fill>
    <fill>
      <patternFill patternType="solid">
        <fgColor rgb="009AD1BA"/>
      </patternFill>
    </fill>
    <fill>
      <patternFill patternType="solid">
        <fgColor rgb="00627032"/>
      </patternFill>
    </fill>
    <fill>
      <patternFill patternType="solid">
        <fgColor rgb="001A6E3D"/>
      </patternFill>
    </fill>
    <fill>
      <patternFill patternType="solid">
        <fgColor rgb="00C8E87D"/>
      </patternFill>
    </fill>
    <fill>
      <patternFill patternType="solid">
        <fgColor rgb="00ACE84C"/>
      </patternFill>
    </fill>
    <fill>
      <patternFill patternType="solid">
        <fgColor rgb="00305335"/>
      </patternFill>
    </fill>
    <fill>
      <patternFill patternType="solid">
        <fgColor rgb="00C0ED9C"/>
      </patternFill>
    </fill>
    <fill>
      <patternFill patternType="solid">
        <fgColor rgb="009EB33E"/>
      </patternFill>
    </fill>
    <fill>
      <patternFill patternType="solid">
        <fgColor rgb="00E6ED4F"/>
      </patternFill>
    </fill>
    <fill>
      <patternFill patternType="solid">
        <fgColor rgb="0026B78E"/>
      </patternFill>
    </fill>
    <fill>
      <patternFill patternType="solid">
        <fgColor rgb="00CAEDCF"/>
      </patternFill>
    </fill>
    <fill>
      <patternFill patternType="solid">
        <fgColor rgb="00176268"/>
      </patternFill>
    </fill>
    <fill>
      <patternFill patternType="solid">
        <fgColor rgb="000A4241"/>
      </patternFill>
    </fill>
    <fill>
      <patternFill patternType="solid">
        <fgColor rgb="00343B1A"/>
      </patternFill>
    </fill>
    <fill>
      <patternFill patternType="solid">
        <fgColor rgb="00E8FAA6"/>
      </patternFill>
    </fill>
    <fill>
      <patternFill patternType="solid">
        <fgColor rgb="004E846D"/>
      </patternFill>
    </fill>
    <fill>
      <patternFill patternType="solid">
        <fgColor rgb="00907C35"/>
      </patternFill>
    </fill>
    <fill>
      <patternFill patternType="solid">
        <fgColor rgb="00D0E0AF"/>
      </patternFill>
    </fill>
    <fill>
      <patternFill patternType="solid">
        <fgColor rgb="009EE5BB"/>
      </patternFill>
    </fill>
    <fill>
      <patternFill patternType="solid">
        <fgColor rgb="00C6DF5F"/>
      </patternFill>
    </fill>
    <fill>
      <patternFill patternType="solid">
        <fgColor rgb="00E3FBB1"/>
      </patternFill>
    </fill>
    <fill>
      <patternFill patternType="solid">
        <fgColor rgb="00B2E694"/>
      </patternFill>
    </fill>
    <fill>
      <patternFill patternType="solid">
        <fgColor rgb="0092AD60"/>
      </patternFill>
    </fill>
    <fill>
      <patternFill patternType="solid">
        <fgColor rgb="00E8FFE7"/>
      </patternFill>
    </fill>
    <fill>
      <patternFill patternType="solid">
        <fgColor rgb="00ABF8FE"/>
      </patternFill>
    </fill>
    <fill>
      <patternFill patternType="solid">
        <fgColor rgb="009EE0F8"/>
      </patternFill>
    </fill>
    <fill>
      <patternFill patternType="solid">
        <fgColor rgb="0044CDFB"/>
      </patternFill>
    </fill>
    <fill>
      <patternFill patternType="solid">
        <fgColor rgb="0006ABE3"/>
      </patternFill>
    </fill>
    <fill>
      <patternFill patternType="solid">
        <fgColor rgb="0054A7E9"/>
      </patternFill>
    </fill>
    <fill>
      <patternFill patternType="solid">
        <fgColor rgb="003977CC"/>
      </patternFill>
    </fill>
    <fill>
      <patternFill patternType="solid">
        <fgColor rgb="000F52BD"/>
      </patternFill>
    </fill>
    <fill>
      <patternFill patternType="solid">
        <fgColor rgb="003349C3"/>
      </patternFill>
    </fill>
    <fill>
      <patternFill patternType="solid">
        <fgColor rgb="003DBBE3"/>
      </patternFill>
    </fill>
    <fill>
      <patternFill patternType="solid">
        <fgColor rgb="002ADED3"/>
      </patternFill>
    </fill>
    <fill>
      <patternFill patternType="solid">
        <fgColor rgb="001E334E"/>
      </patternFill>
    </fill>
    <fill>
      <patternFill patternType="solid">
        <fgColor rgb="00CDE7FE"/>
      </patternFill>
    </fill>
    <fill>
      <patternFill patternType="solid">
        <fgColor rgb="00D6FDFC"/>
      </patternFill>
    </fill>
    <fill>
      <patternFill patternType="solid">
        <fgColor rgb="0021C5C4"/>
      </patternFill>
    </fill>
    <fill>
      <patternFill patternType="solid">
        <fgColor rgb="001858A2"/>
      </patternFill>
    </fill>
    <fill>
      <patternFill patternType="solid">
        <fgColor rgb="0002D1F3"/>
      </patternFill>
    </fill>
    <fill>
      <patternFill patternType="solid">
        <fgColor rgb="00213244"/>
      </patternFill>
    </fill>
    <fill>
      <patternFill patternType="solid">
        <fgColor rgb="00188690"/>
      </patternFill>
    </fill>
    <fill>
      <patternFill patternType="solid">
        <fgColor rgb="001A70A9"/>
      </patternFill>
    </fill>
    <fill>
      <patternFill patternType="solid">
        <fgColor rgb="00BEDDFC"/>
      </patternFill>
    </fill>
    <fill>
      <patternFill patternType="solid">
        <fgColor rgb="006BB1BB"/>
      </patternFill>
    </fill>
    <fill>
      <patternFill patternType="solid">
        <fgColor rgb="00C8E2F9"/>
      </patternFill>
    </fill>
    <fill>
      <patternFill patternType="solid">
        <fgColor rgb="007EC5F9"/>
      </patternFill>
    </fill>
    <fill>
      <patternFill patternType="solid">
        <fgColor rgb="00A9E8E0"/>
      </patternFill>
    </fill>
    <fill>
      <patternFill patternType="solid">
        <fgColor rgb="0042ADD1"/>
      </patternFill>
    </fill>
    <fill>
      <patternFill patternType="solid">
        <fgColor rgb="00D0DEEF"/>
      </patternFill>
    </fill>
    <fill>
      <patternFill patternType="solid">
        <fgColor rgb="00BDCEED"/>
      </patternFill>
    </fill>
    <fill>
      <patternFill patternType="solid">
        <fgColor rgb="00364A89"/>
      </patternFill>
    </fill>
    <fill>
      <patternFill patternType="solid">
        <fgColor rgb="00ACB7EF"/>
      </patternFill>
    </fill>
    <fill>
      <patternFill patternType="solid">
        <fgColor rgb="00868DD3"/>
      </patternFill>
    </fill>
    <fill>
      <patternFill patternType="solid">
        <fgColor rgb="003653AF"/>
      </patternFill>
    </fill>
    <fill>
      <patternFill patternType="solid">
        <fgColor rgb="00162C7E"/>
      </patternFill>
    </fill>
    <fill>
      <patternFill patternType="solid">
        <fgColor rgb="00B34EC6"/>
      </patternFill>
    </fill>
    <fill>
      <patternFill patternType="solid">
        <fgColor rgb="00B37BDC"/>
      </patternFill>
    </fill>
    <fill>
      <patternFill patternType="solid">
        <fgColor rgb="008758A9"/>
      </patternFill>
    </fill>
    <fill>
      <patternFill patternType="solid">
        <fgColor rgb="00E3D2FE"/>
      </patternFill>
    </fill>
    <fill>
      <patternFill patternType="solid">
        <fgColor rgb="00D6BAF5"/>
      </patternFill>
    </fill>
    <fill>
      <patternFill patternType="solid">
        <fgColor rgb="00301A49"/>
      </patternFill>
    </fill>
    <fill>
      <patternFill patternType="solid">
        <fgColor rgb="00BCBAE2"/>
      </patternFill>
    </fill>
    <fill>
      <patternFill patternType="solid">
        <fgColor rgb="00DC99CE"/>
      </patternFill>
    </fill>
    <fill>
      <patternFill patternType="solid">
        <fgColor rgb="00B5038F"/>
      </patternFill>
    </fill>
    <fill>
      <patternFill patternType="solid">
        <fgColor rgb="00882893"/>
      </patternFill>
    </fill>
    <fill>
      <patternFill patternType="solid">
        <fgColor rgb="002F1E8E"/>
      </patternFill>
    </fill>
    <fill>
      <patternFill patternType="solid">
        <fgColor rgb="00E2E4F0"/>
      </patternFill>
    </fill>
    <fill>
      <patternFill patternType="solid">
        <fgColor rgb="00C7D3F9"/>
      </patternFill>
    </fill>
    <fill>
      <patternFill patternType="solid">
        <fgColor rgb="009A64B8"/>
      </patternFill>
    </fill>
    <fill>
      <patternFill patternType="solid">
        <fgColor rgb="00D8C2D9"/>
      </patternFill>
    </fill>
    <fill>
      <patternFill patternType="solid">
        <fgColor rgb="009C34AD"/>
      </patternFill>
    </fill>
    <fill>
      <patternFill patternType="solid">
        <fgColor rgb="00940595"/>
      </patternFill>
    </fill>
    <fill>
      <patternFill patternType="solid">
        <fgColor rgb="00383995"/>
      </patternFill>
    </fill>
    <fill>
      <patternFill patternType="solid">
        <fgColor rgb="00FADBF8"/>
      </patternFill>
    </fill>
    <fill>
      <patternFill patternType="solid">
        <fgColor rgb="00768AE1"/>
      </patternFill>
    </fill>
    <fill>
      <patternFill patternType="solid">
        <fgColor rgb="004950C2"/>
      </patternFill>
    </fill>
    <fill>
      <patternFill patternType="solid">
        <fgColor rgb="00D6C6EB"/>
      </patternFill>
    </fill>
    <fill>
      <patternFill patternType="solid">
        <fgColor rgb="00F6D4CB"/>
      </patternFill>
    </fill>
    <fill>
      <patternFill patternType="solid">
        <fgColor rgb="00FCC1DD"/>
      </patternFill>
    </fill>
    <fill>
      <patternFill patternType="solid">
        <fgColor rgb="00F6BDE8"/>
      </patternFill>
    </fill>
    <fill>
      <patternFill patternType="solid">
        <fgColor rgb="00E9639E"/>
      </patternFill>
    </fill>
    <fill>
      <patternFill patternType="solid">
        <fgColor rgb="00F1559F"/>
      </patternFill>
    </fill>
    <fill>
      <patternFill patternType="solid">
        <fgColor rgb="00EC4072"/>
      </patternFill>
    </fill>
    <fill>
      <patternFill patternType="solid">
        <fgColor rgb="00C63674"/>
      </patternFill>
    </fill>
    <fill>
      <patternFill patternType="solid">
        <fgColor rgb="00FDDBE9"/>
      </patternFill>
    </fill>
    <fill>
      <patternFill patternType="solid">
        <fgColor rgb="00E575C7"/>
      </patternFill>
    </fill>
    <fill>
      <patternFill patternType="solid">
        <fgColor rgb="00D33997"/>
      </patternFill>
    </fill>
    <fill>
      <patternFill patternType="solid">
        <fgColor rgb="00F7DAD4"/>
      </patternFill>
    </fill>
    <fill>
      <patternFill patternType="solid">
        <fgColor rgb="00F893BF"/>
      </patternFill>
    </fill>
    <fill>
      <patternFill patternType="solid">
        <fgColor rgb="00B5026A"/>
      </patternFill>
    </fill>
    <fill>
      <patternFill patternType="solid">
        <fgColor rgb="00FAD4BF"/>
      </patternFill>
    </fill>
    <fill>
      <patternFill patternType="solid">
        <fgColor rgb="00F5C9CA"/>
      </patternFill>
    </fill>
    <fill>
      <patternFill patternType="solid">
        <fgColor rgb="00FBF4EC"/>
      </patternFill>
    </fill>
    <fill>
      <patternFill patternType="solid">
        <fgColor rgb="00F7E3EC"/>
      </patternFill>
    </fill>
    <fill>
      <patternFill patternType="solid">
        <fgColor rgb="00FBCBDB"/>
      </patternFill>
    </fill>
    <fill>
      <patternFill patternType="solid">
        <fgColor rgb="00F6BBD1"/>
      </patternFill>
    </fill>
    <fill>
      <patternFill patternType="solid">
        <fgColor rgb="00D7C6CE"/>
      </patternFill>
    </fill>
    <fill>
      <patternFill patternType="solid">
        <fgColor rgb="00C09DA4"/>
      </patternFill>
    </fill>
    <fill>
      <patternFill patternType="solid">
        <fgColor rgb="00B58B9F"/>
      </patternFill>
    </fill>
    <fill>
      <patternFill patternType="solid">
        <fgColor rgb="00937D8A"/>
      </patternFill>
    </fill>
    <fill>
      <patternFill patternType="solid">
        <fgColor rgb="00DEBEE5"/>
      </patternFill>
    </fill>
    <fill>
      <patternFill patternType="solid">
        <fgColor rgb="00FF9280"/>
      </patternFill>
    </fill>
    <fill>
      <patternFill patternType="solid">
        <fgColor rgb="00F73D48"/>
      </patternFill>
    </fill>
    <fill>
      <patternFill patternType="solid">
        <fgColor rgb="00EF4D3E"/>
      </patternFill>
    </fill>
    <fill>
      <patternFill patternType="solid">
        <fgColor rgb="00F92B40"/>
      </patternFill>
    </fill>
    <fill>
      <patternFill patternType="solid">
        <fgColor rgb="00E30328"/>
      </patternFill>
    </fill>
    <fill>
      <patternFill patternType="solid">
        <fgColor rgb="00913635"/>
      </patternFill>
    </fill>
    <fill>
      <patternFill patternType="solid">
        <fgColor rgb="00911932"/>
      </patternFill>
    </fill>
    <fill>
      <patternFill patternType="solid">
        <fgColor rgb="00BB0126"/>
      </patternFill>
    </fill>
    <fill>
      <patternFill patternType="solid">
        <fgColor rgb="00E0677A"/>
      </patternFill>
    </fill>
    <fill>
      <patternFill patternType="solid">
        <fgColor rgb="00874628"/>
      </patternFill>
    </fill>
    <fill>
      <patternFill patternType="solid">
        <fgColor rgb="006F321D"/>
      </patternFill>
    </fill>
    <fill>
      <patternFill patternType="solid">
        <fgColor rgb="00F8516D"/>
      </patternFill>
    </fill>
    <fill>
      <patternFill patternType="solid">
        <fgColor rgb="00F45C45"/>
      </patternFill>
    </fill>
    <fill>
      <patternFill patternType="solid">
        <fgColor rgb="00FCADB2"/>
      </patternFill>
    </fill>
    <fill>
      <patternFill patternType="solid">
        <fgColor rgb="00D50527"/>
      </patternFill>
    </fill>
    <fill>
      <patternFill patternType="solid">
        <fgColor rgb="00F8C0A9"/>
      </patternFill>
    </fill>
    <fill>
      <patternFill patternType="solid">
        <fgColor rgb="00E89B7D"/>
      </patternFill>
    </fill>
    <fill>
      <patternFill patternType="solid">
        <fgColor rgb="00D07E4A"/>
      </patternFill>
    </fill>
    <fill>
      <patternFill patternType="solid">
        <fgColor rgb="00BE454A"/>
      </patternFill>
    </fill>
    <fill>
      <patternFill patternType="solid">
        <fgColor rgb="00C69495"/>
      </patternFill>
    </fill>
    <fill>
      <patternFill patternType="solid">
        <fgColor rgb="00F2BBC6"/>
      </patternFill>
    </fill>
    <fill>
      <patternFill patternType="solid">
        <fgColor rgb="00F7C3D0"/>
      </patternFill>
    </fill>
    <fill>
      <patternFill patternType="solid">
        <fgColor rgb="00EC806D"/>
      </patternFill>
    </fill>
    <fill>
      <patternFill patternType="solid">
        <fgColor rgb="00E09DAF"/>
      </patternFill>
    </fill>
    <fill>
      <patternFill patternType="solid">
        <fgColor rgb="00E84854"/>
      </patternFill>
    </fill>
    <fill>
      <patternFill patternType="solid">
        <fgColor rgb="00FFE4D3"/>
      </patternFill>
    </fill>
    <fill>
      <patternFill patternType="solid">
        <fgColor rgb="00FCC6AC"/>
      </patternFill>
    </fill>
    <fill>
      <patternFill patternType="solid">
        <fgColor rgb="00F1C4A5"/>
      </patternFill>
    </fill>
    <fill>
      <patternFill patternType="solid">
        <fgColor rgb="00DCB387"/>
      </patternFill>
    </fill>
    <fill>
      <patternFill patternType="solid">
        <fgColor rgb="00E7B34E"/>
      </patternFill>
    </fill>
    <fill>
      <patternFill patternType="solid">
        <fgColor rgb="00F3A014"/>
      </patternFill>
    </fill>
    <fill>
      <patternFill patternType="solid">
        <fgColor rgb="0098503A"/>
      </patternFill>
    </fill>
    <fill>
      <patternFill patternType="solid">
        <fgColor rgb="004B2B1C"/>
      </patternFill>
    </fill>
    <fill>
      <patternFill patternType="solid">
        <fgColor rgb="00E4B685"/>
      </patternFill>
    </fill>
    <fill>
      <patternFill patternType="solid">
        <fgColor rgb="00DA8C42"/>
      </patternFill>
    </fill>
    <fill>
      <patternFill patternType="solid">
        <fgColor rgb="00DAC898"/>
      </patternFill>
    </fill>
    <fill>
      <patternFill patternType="solid">
        <fgColor rgb="00FEC993"/>
      </patternFill>
    </fill>
    <fill>
      <patternFill patternType="solid">
        <fgColor rgb="00B2714B"/>
      </patternFill>
    </fill>
    <fill>
      <patternFill patternType="solid">
        <fgColor rgb="008B684C"/>
      </patternFill>
    </fill>
    <fill>
      <patternFill patternType="solid">
        <fgColor rgb="00FCF9E0"/>
      </patternFill>
    </fill>
    <fill>
      <patternFill patternType="solid">
        <fgColor rgb="00F2D8C1"/>
      </patternFill>
    </fill>
    <fill>
      <patternFill patternType="solid">
        <fgColor rgb="0079544E"/>
      </patternFill>
    </fill>
    <fill>
      <patternFill patternType="solid">
        <fgColor rgb="00FFE4D6"/>
      </patternFill>
    </fill>
    <fill>
      <patternFill patternType="solid">
        <fgColor rgb="00DD7D41"/>
      </patternFill>
    </fill>
    <fill>
      <patternFill patternType="solid">
        <fgColor rgb="00A5452F"/>
      </patternFill>
    </fill>
    <fill>
      <patternFill patternType="solid">
        <fgColor rgb="00B38561"/>
      </patternFill>
    </fill>
    <fill>
      <patternFill patternType="solid">
        <fgColor rgb="00FBFBFB"/>
      </patternFill>
    </fill>
    <fill>
      <patternFill patternType="solid">
        <fgColor rgb="00FFFFFF"/>
      </patternFill>
    </fill>
    <fill>
      <patternFill patternType="solid">
        <fgColor rgb="00B4B4B4"/>
      </patternFill>
    </fill>
    <fill>
      <patternFill patternType="solid">
        <fgColor rgb="00878787"/>
      </patternFill>
    </fill>
    <fill>
      <patternFill patternType="solid">
        <fgColor rgb="00464648"/>
      </patternFill>
    </fill>
    <fill>
      <patternFill patternType="solid">
        <fgColor rgb="002C2C2C"/>
      </patternFill>
    </fill>
    <fill>
      <patternFill patternType="solid">
        <fgColor rgb="00010101"/>
      </patternFill>
    </fill>
    <fill>
      <patternFill patternType="solid">
        <fgColor rgb="00E7D6DC"/>
      </patternFill>
    </fill>
    <fill>
      <patternFill patternType="solid">
        <fgColor rgb="00EFEDEE"/>
      </patternFill>
    </fill>
    <fill>
      <patternFill patternType="solid">
        <fgColor rgb="00ECEAEB"/>
      </patternFill>
    </fill>
    <fill>
      <patternFill patternType="solid">
        <fgColor rgb="00CDCDCD"/>
      </patternFill>
    </fill>
    <fill>
      <patternFill patternType="solid">
        <fgColor rgb="00FDF6EE"/>
      </patternFill>
    </fill>
    <fill>
      <patternFill patternType="solid">
        <fgColor rgb="00F4EFD1"/>
      </patternFill>
    </fill>
    <fill>
      <patternFill patternType="solid">
        <fgColor rgb="00CED7D4"/>
      </patternFill>
    </fill>
    <fill>
      <patternFill patternType="solid">
        <fgColor rgb="0098A6A6"/>
      </patternFill>
    </fill>
    <fill>
      <patternFill patternType="solid">
        <fgColor rgb="001B1213"/>
      </patternFill>
    </fill>
    <fill>
      <patternFill patternType="solid">
        <fgColor rgb="00F0EEEF"/>
      </patternFill>
    </fill>
    <fill>
      <patternFill patternType="solid">
        <fgColor rgb="00FCFFF8"/>
      </patternFill>
    </fill>
    <fill>
      <patternFill patternType="solid">
        <fgColor rgb="00F2EEE5"/>
      </patternFill>
    </fill>
    <fill>
      <patternFill patternType="solid">
        <fgColor rgb="0096A09F"/>
      </patternFill>
    </fill>
    <fill>
      <patternFill patternType="solid">
        <fgColor rgb="00FFFBE1"/>
      </patternFill>
    </fill>
    <fill>
      <patternFill patternType="solid">
        <fgColor rgb="00CACADA"/>
      </patternFill>
    </fill>
    <fill>
      <patternFill patternType="solid">
        <fgColor rgb="009B9C94"/>
      </patternFill>
    </fill>
    <fill>
      <patternFill patternType="solid">
        <fgColor rgb="00BBC6B6"/>
      </patternFill>
    </fill>
    <fill>
      <patternFill patternType="solid">
        <fgColor rgb="00909994"/>
      </patternFill>
    </fill>
    <fill>
      <patternFill patternType="solid">
        <fgColor rgb="00697E80"/>
      </patternFill>
    </fill>
    <fill>
      <patternFill patternType="solid">
        <fgColor rgb="00E0D4BC"/>
      </patternFill>
    </fill>
    <fill>
      <patternFill patternType="solid">
        <fgColor rgb="00D0CBAE"/>
      </patternFill>
    </fill>
    <fill>
      <patternFill patternType="solid">
        <fgColor rgb="00B0AA86"/>
      </patternFill>
    </fill>
    <fill>
      <patternFill patternType="solid">
        <fgColor rgb="00B0A796"/>
      </patternFill>
    </fill>
    <fill>
      <patternFill patternType="solid">
        <fgColor rgb="00AE8082"/>
      </patternFill>
    </fill>
    <fill>
      <patternFill patternType="solid">
        <fgColor rgb="00A88764"/>
      </patternFill>
    </fill>
    <fill>
      <patternFill patternType="solid">
        <fgColor rgb="00C6B2BB"/>
      </patternFill>
    </fill>
    <fill>
      <patternFill patternType="solid">
        <fgColor rgb="009D7693"/>
      </patternFill>
    </fill>
    <fill>
      <patternFill patternType="solid">
        <fgColor rgb="00644B51"/>
      </patternFill>
    </fill>
    <fill>
      <patternFill patternType="solid">
        <fgColor rgb="00C79266"/>
      </patternFill>
    </fill>
    <fill>
      <patternFill patternType="solid">
        <fgColor rgb="00C37463"/>
      </patternFill>
    </fill>
    <fill>
      <patternFill patternType="solid">
        <fgColor rgb="00747D7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4" borderId="1" pivotButton="0" quotePrefix="0" xfId="0"/>
    <xf numFmtId="0" fontId="3" fillId="2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0" fillId="15" borderId="1" pivotButton="0" quotePrefix="0" xfId="0"/>
    <xf numFmtId="0" fontId="0" fillId="16" borderId="1" pivotButton="0" quotePrefix="0" xfId="0"/>
    <xf numFmtId="0" fontId="0" fillId="17" borderId="1" pivotButton="0" quotePrefix="0" xfId="0"/>
    <xf numFmtId="0" fontId="0" fillId="18" borderId="1" pivotButton="0" quotePrefix="0" xfId="0"/>
    <xf numFmtId="0" fontId="0" fillId="19" borderId="1" pivotButton="0" quotePrefix="0" xfId="0"/>
    <xf numFmtId="0" fontId="0" fillId="20" borderId="1" pivotButton="0" quotePrefix="0" xfId="0"/>
    <xf numFmtId="0" fontId="0" fillId="21" borderId="1" pivotButton="0" quotePrefix="0" xfId="0"/>
    <xf numFmtId="0" fontId="0" fillId="22" borderId="1" pivotButton="0" quotePrefix="0" xfId="0"/>
    <xf numFmtId="0" fontId="0" fillId="23" borderId="1" pivotButton="0" quotePrefix="0" xfId="0"/>
    <xf numFmtId="0" fontId="0" fillId="24" borderId="1" pivotButton="0" quotePrefix="0" xfId="0"/>
    <xf numFmtId="0" fontId="0" fillId="25" borderId="1" pivotButton="0" quotePrefix="0" xfId="0"/>
    <xf numFmtId="0" fontId="0" fillId="26" borderId="1" pivotButton="0" quotePrefix="0" xfId="0"/>
    <xf numFmtId="0" fontId="0" fillId="27" borderId="1" pivotButton="0" quotePrefix="0" xfId="0"/>
    <xf numFmtId="0" fontId="0" fillId="28" borderId="1" pivotButton="0" quotePrefix="0" xfId="0"/>
    <xf numFmtId="0" fontId="0" fillId="29" borderId="1" pivotButton="0" quotePrefix="0" xfId="0"/>
    <xf numFmtId="0" fontId="0" fillId="30" borderId="1" pivotButton="0" quotePrefix="0" xfId="0"/>
    <xf numFmtId="0" fontId="0" fillId="31" borderId="1" pivotButton="0" quotePrefix="0" xfId="0"/>
    <xf numFmtId="0" fontId="0" fillId="32" borderId="1" pivotButton="0" quotePrefix="0" xfId="0"/>
    <xf numFmtId="0" fontId="0" fillId="33" borderId="1" pivotButton="0" quotePrefix="0" xfId="0"/>
    <xf numFmtId="0" fontId="0" fillId="34" borderId="1" pivotButton="0" quotePrefix="0" xfId="0"/>
    <xf numFmtId="0" fontId="0" fillId="35" borderId="1" pivotButton="0" quotePrefix="0" xfId="0"/>
    <xf numFmtId="0" fontId="0" fillId="36" borderId="1" pivotButton="0" quotePrefix="0" xfId="0"/>
    <xf numFmtId="0" fontId="0" fillId="37" borderId="1" pivotButton="0" quotePrefix="0" xfId="0"/>
    <xf numFmtId="0" fontId="0" fillId="38" borderId="1" pivotButton="0" quotePrefix="0" xfId="0"/>
    <xf numFmtId="0" fontId="0" fillId="39" borderId="1" pivotButton="0" quotePrefix="0" xfId="0"/>
    <xf numFmtId="0" fontId="0" fillId="40" borderId="1" pivotButton="0" quotePrefix="0" xfId="0"/>
    <xf numFmtId="0" fontId="0" fillId="41" borderId="1" pivotButton="0" quotePrefix="0" xfId="0"/>
    <xf numFmtId="0" fontId="0" fillId="42" borderId="1" pivotButton="0" quotePrefix="0" xfId="0"/>
    <xf numFmtId="0" fontId="0" fillId="43" borderId="1" pivotButton="0" quotePrefix="0" xfId="0"/>
    <xf numFmtId="0" fontId="0" fillId="44" borderId="1" pivotButton="0" quotePrefix="0" xfId="0"/>
    <xf numFmtId="0" fontId="0" fillId="45" borderId="1" pivotButton="0" quotePrefix="0" xfId="0"/>
    <xf numFmtId="0" fontId="0" fillId="46" borderId="1" pivotButton="0" quotePrefix="0" xfId="0"/>
    <xf numFmtId="0" fontId="0" fillId="47" borderId="1" pivotButton="0" quotePrefix="0" xfId="0"/>
    <xf numFmtId="0" fontId="0" fillId="48" borderId="1" pivotButton="0" quotePrefix="0" xfId="0"/>
    <xf numFmtId="0" fontId="0" fillId="49" borderId="1" pivotButton="0" quotePrefix="0" xfId="0"/>
    <xf numFmtId="0" fontId="0" fillId="50" borderId="1" pivotButton="0" quotePrefix="0" xfId="0"/>
    <xf numFmtId="0" fontId="0" fillId="51" borderId="1" pivotButton="0" quotePrefix="0" xfId="0"/>
    <xf numFmtId="0" fontId="0" fillId="52" borderId="1" pivotButton="0" quotePrefix="0" xfId="0"/>
    <xf numFmtId="0" fontId="0" fillId="53" borderId="1" pivotButton="0" quotePrefix="0" xfId="0"/>
    <xf numFmtId="0" fontId="0" fillId="54" borderId="1" pivotButton="0" quotePrefix="0" xfId="0"/>
    <xf numFmtId="0" fontId="0" fillId="55" borderId="1" pivotButton="0" quotePrefix="0" xfId="0"/>
    <xf numFmtId="0" fontId="0" fillId="56" borderId="1" pivotButton="0" quotePrefix="0" xfId="0"/>
    <xf numFmtId="0" fontId="0" fillId="57" borderId="1" pivotButton="0" quotePrefix="0" xfId="0"/>
    <xf numFmtId="0" fontId="0" fillId="58" borderId="1" pivotButton="0" quotePrefix="0" xfId="0"/>
    <xf numFmtId="0" fontId="0" fillId="59" borderId="1" pivotButton="0" quotePrefix="0" xfId="0"/>
    <xf numFmtId="0" fontId="0" fillId="60" borderId="1" pivotButton="0" quotePrefix="0" xfId="0"/>
    <xf numFmtId="0" fontId="0" fillId="61" borderId="1" pivotButton="0" quotePrefix="0" xfId="0"/>
    <xf numFmtId="0" fontId="0" fillId="62" borderId="1" pivotButton="0" quotePrefix="0" xfId="0"/>
    <xf numFmtId="0" fontId="0" fillId="63" borderId="1" pivotButton="0" quotePrefix="0" xfId="0"/>
    <xf numFmtId="0" fontId="0" fillId="64" borderId="1" pivotButton="0" quotePrefix="0" xfId="0"/>
    <xf numFmtId="0" fontId="0" fillId="65" borderId="1" pivotButton="0" quotePrefix="0" xfId="0"/>
    <xf numFmtId="0" fontId="0" fillId="66" borderId="1" pivotButton="0" quotePrefix="0" xfId="0"/>
    <xf numFmtId="0" fontId="0" fillId="67" borderId="1" pivotButton="0" quotePrefix="0" xfId="0"/>
    <xf numFmtId="0" fontId="0" fillId="68" borderId="1" pivotButton="0" quotePrefix="0" xfId="0"/>
    <xf numFmtId="0" fontId="0" fillId="69" borderId="1" pivotButton="0" quotePrefix="0" xfId="0"/>
    <xf numFmtId="0" fontId="0" fillId="70" borderId="1" pivotButton="0" quotePrefix="0" xfId="0"/>
    <xf numFmtId="0" fontId="0" fillId="71" borderId="1" pivotButton="0" quotePrefix="0" xfId="0"/>
    <xf numFmtId="0" fontId="0" fillId="72" borderId="1" pivotButton="0" quotePrefix="0" xfId="0"/>
    <xf numFmtId="0" fontId="0" fillId="73" borderId="1" pivotButton="0" quotePrefix="0" xfId="0"/>
    <xf numFmtId="0" fontId="0" fillId="74" borderId="1" pivotButton="0" quotePrefix="0" xfId="0"/>
    <xf numFmtId="0" fontId="0" fillId="75" borderId="1" pivotButton="0" quotePrefix="0" xfId="0"/>
    <xf numFmtId="0" fontId="0" fillId="76" borderId="1" pivotButton="0" quotePrefix="0" xfId="0"/>
    <xf numFmtId="0" fontId="0" fillId="77" borderId="1" pivotButton="0" quotePrefix="0" xfId="0"/>
    <xf numFmtId="0" fontId="0" fillId="78" borderId="1" pivotButton="0" quotePrefix="0" xfId="0"/>
    <xf numFmtId="0" fontId="0" fillId="79" borderId="1" pivotButton="0" quotePrefix="0" xfId="0"/>
    <xf numFmtId="0" fontId="0" fillId="80" borderId="1" pivotButton="0" quotePrefix="0" xfId="0"/>
    <xf numFmtId="0" fontId="0" fillId="81" borderId="1" pivotButton="0" quotePrefix="0" xfId="0"/>
    <xf numFmtId="0" fontId="0" fillId="82" borderId="1" pivotButton="0" quotePrefix="0" xfId="0"/>
    <xf numFmtId="0" fontId="0" fillId="83" borderId="1" pivotButton="0" quotePrefix="0" xfId="0"/>
    <xf numFmtId="0" fontId="0" fillId="84" borderId="1" pivotButton="0" quotePrefix="0" xfId="0"/>
    <xf numFmtId="0" fontId="0" fillId="85" borderId="1" pivotButton="0" quotePrefix="0" xfId="0"/>
    <xf numFmtId="0" fontId="0" fillId="86" borderId="1" pivotButton="0" quotePrefix="0" xfId="0"/>
    <xf numFmtId="0" fontId="0" fillId="87" borderId="1" pivotButton="0" quotePrefix="0" xfId="0"/>
    <xf numFmtId="0" fontId="0" fillId="88" borderId="1" pivotButton="0" quotePrefix="0" xfId="0"/>
    <xf numFmtId="0" fontId="0" fillId="89" borderId="1" pivotButton="0" quotePrefix="0" xfId="0"/>
    <xf numFmtId="0" fontId="0" fillId="90" borderId="1" pivotButton="0" quotePrefix="0" xfId="0"/>
    <xf numFmtId="0" fontId="0" fillId="91" borderId="1" pivotButton="0" quotePrefix="0" xfId="0"/>
    <xf numFmtId="0" fontId="0" fillId="92" borderId="1" pivotButton="0" quotePrefix="0" xfId="0"/>
    <xf numFmtId="0" fontId="0" fillId="93" borderId="1" pivotButton="0" quotePrefix="0" xfId="0"/>
    <xf numFmtId="0" fontId="0" fillId="94" borderId="1" pivotButton="0" quotePrefix="0" xfId="0"/>
    <xf numFmtId="0" fontId="0" fillId="95" borderId="1" pivotButton="0" quotePrefix="0" xfId="0"/>
    <xf numFmtId="0" fontId="0" fillId="96" borderId="1" pivotButton="0" quotePrefix="0" xfId="0"/>
    <xf numFmtId="0" fontId="0" fillId="97" borderId="1" pivotButton="0" quotePrefix="0" xfId="0"/>
    <xf numFmtId="0" fontId="0" fillId="98" borderId="1" pivotButton="0" quotePrefix="0" xfId="0"/>
    <xf numFmtId="0" fontId="0" fillId="99" borderId="1" pivotButton="0" quotePrefix="0" xfId="0"/>
    <xf numFmtId="0" fontId="0" fillId="100" borderId="1" pivotButton="0" quotePrefix="0" xfId="0"/>
    <xf numFmtId="0" fontId="0" fillId="101" borderId="1" pivotButton="0" quotePrefix="0" xfId="0"/>
    <xf numFmtId="0" fontId="0" fillId="102" borderId="1" pivotButton="0" quotePrefix="0" xfId="0"/>
    <xf numFmtId="0" fontId="0" fillId="103" borderId="1" pivotButton="0" quotePrefix="0" xfId="0"/>
    <xf numFmtId="0" fontId="0" fillId="104" borderId="1" pivotButton="0" quotePrefix="0" xfId="0"/>
    <xf numFmtId="0" fontId="0" fillId="105" borderId="1" pivotButton="0" quotePrefix="0" xfId="0"/>
    <xf numFmtId="0" fontId="0" fillId="106" borderId="1" pivotButton="0" quotePrefix="0" xfId="0"/>
    <xf numFmtId="0" fontId="0" fillId="107" borderId="1" pivotButton="0" quotePrefix="0" xfId="0"/>
    <xf numFmtId="0" fontId="0" fillId="108" borderId="1" pivotButton="0" quotePrefix="0" xfId="0"/>
    <xf numFmtId="0" fontId="0" fillId="109" borderId="1" pivotButton="0" quotePrefix="0" xfId="0"/>
    <xf numFmtId="0" fontId="0" fillId="110" borderId="1" pivotButton="0" quotePrefix="0" xfId="0"/>
    <xf numFmtId="0" fontId="0" fillId="111" borderId="1" pivotButton="0" quotePrefix="0" xfId="0"/>
    <xf numFmtId="0" fontId="0" fillId="112" borderId="1" pivotButton="0" quotePrefix="0" xfId="0"/>
    <xf numFmtId="0" fontId="0" fillId="113" borderId="1" pivotButton="0" quotePrefix="0" xfId="0"/>
    <xf numFmtId="0" fontId="0" fillId="114" borderId="1" pivotButton="0" quotePrefix="0" xfId="0"/>
    <xf numFmtId="0" fontId="0" fillId="115" borderId="1" pivotButton="0" quotePrefix="0" xfId="0"/>
    <xf numFmtId="0" fontId="0" fillId="116" borderId="1" pivotButton="0" quotePrefix="0" xfId="0"/>
    <xf numFmtId="0" fontId="0" fillId="117" borderId="1" pivotButton="0" quotePrefix="0" xfId="0"/>
    <xf numFmtId="0" fontId="0" fillId="118" borderId="1" pivotButton="0" quotePrefix="0" xfId="0"/>
    <xf numFmtId="0" fontId="0" fillId="119" borderId="1" pivotButton="0" quotePrefix="0" xfId="0"/>
    <xf numFmtId="0" fontId="0" fillId="120" borderId="1" pivotButton="0" quotePrefix="0" xfId="0"/>
    <xf numFmtId="0" fontId="0" fillId="121" borderId="1" pivotButton="0" quotePrefix="0" xfId="0"/>
    <xf numFmtId="0" fontId="0" fillId="122" borderId="1" pivotButton="0" quotePrefix="0" xfId="0"/>
    <xf numFmtId="0" fontId="0" fillId="123" borderId="1" pivotButton="0" quotePrefix="0" xfId="0"/>
    <xf numFmtId="0" fontId="0" fillId="124" borderId="1" pivotButton="0" quotePrefix="0" xfId="0"/>
    <xf numFmtId="0" fontId="0" fillId="125" borderId="1" pivotButton="0" quotePrefix="0" xfId="0"/>
    <xf numFmtId="0" fontId="0" fillId="126" borderId="1" pivotButton="0" quotePrefix="0" xfId="0"/>
    <xf numFmtId="0" fontId="0" fillId="127" borderId="1" pivotButton="0" quotePrefix="0" xfId="0"/>
    <xf numFmtId="0" fontId="0" fillId="128" borderId="1" pivotButton="0" quotePrefix="0" xfId="0"/>
    <xf numFmtId="0" fontId="0" fillId="129" borderId="1" pivotButton="0" quotePrefix="0" xfId="0"/>
    <xf numFmtId="0" fontId="0" fillId="130" borderId="1" pivotButton="0" quotePrefix="0" xfId="0"/>
    <xf numFmtId="0" fontId="0" fillId="131" borderId="1" pivotButton="0" quotePrefix="0" xfId="0"/>
    <xf numFmtId="0" fontId="0" fillId="132" borderId="1" pivotButton="0" quotePrefix="0" xfId="0"/>
    <xf numFmtId="0" fontId="0" fillId="133" borderId="1" pivotButton="0" quotePrefix="0" xfId="0"/>
    <xf numFmtId="0" fontId="0" fillId="134" borderId="1" pivotButton="0" quotePrefix="0" xfId="0"/>
    <xf numFmtId="0" fontId="0" fillId="135" borderId="1" pivotButton="0" quotePrefix="0" xfId="0"/>
    <xf numFmtId="0" fontId="0" fillId="136" borderId="1" pivotButton="0" quotePrefix="0" xfId="0"/>
    <xf numFmtId="0" fontId="0" fillId="137" borderId="1" pivotButton="0" quotePrefix="0" xfId="0"/>
    <xf numFmtId="0" fontId="0" fillId="138" borderId="1" pivotButton="0" quotePrefix="0" xfId="0"/>
    <xf numFmtId="0" fontId="0" fillId="139" borderId="1" pivotButton="0" quotePrefix="0" xfId="0"/>
    <xf numFmtId="0" fontId="0" fillId="140" borderId="1" pivotButton="0" quotePrefix="0" xfId="0"/>
    <xf numFmtId="0" fontId="0" fillId="141" borderId="1" pivotButton="0" quotePrefix="0" xfId="0"/>
    <xf numFmtId="0" fontId="0" fillId="142" borderId="1" pivotButton="0" quotePrefix="0" xfId="0"/>
    <xf numFmtId="0" fontId="0" fillId="143" borderId="1" pivotButton="0" quotePrefix="0" xfId="0"/>
    <xf numFmtId="0" fontId="0" fillId="144" borderId="1" pivotButton="0" quotePrefix="0" xfId="0"/>
    <xf numFmtId="0" fontId="0" fillId="145" borderId="1" pivotButton="0" quotePrefix="0" xfId="0"/>
    <xf numFmtId="0" fontId="0" fillId="146" borderId="1" pivotButton="0" quotePrefix="0" xfId="0"/>
    <xf numFmtId="0" fontId="0" fillId="147" borderId="1" pivotButton="0" quotePrefix="0" xfId="0"/>
    <xf numFmtId="0" fontId="0" fillId="148" borderId="1" pivotButton="0" quotePrefix="0" xfId="0"/>
    <xf numFmtId="0" fontId="0" fillId="149" borderId="1" pivotButton="0" quotePrefix="0" xfId="0"/>
    <xf numFmtId="0" fontId="0" fillId="150" borderId="1" pivotButton="0" quotePrefix="0" xfId="0"/>
    <xf numFmtId="0" fontId="0" fillId="151" borderId="1" pivotButton="0" quotePrefix="0" xfId="0"/>
    <xf numFmtId="0" fontId="0" fillId="152" borderId="1" pivotButton="0" quotePrefix="0" xfId="0"/>
    <xf numFmtId="0" fontId="0" fillId="153" borderId="1" pivotButton="0" quotePrefix="0" xfId="0"/>
    <xf numFmtId="0" fontId="0" fillId="154" borderId="1" pivotButton="0" quotePrefix="0" xfId="0"/>
    <xf numFmtId="0" fontId="0" fillId="155" borderId="1" pivotButton="0" quotePrefix="0" xfId="0"/>
    <xf numFmtId="0" fontId="0" fillId="156" borderId="1" pivotButton="0" quotePrefix="0" xfId="0"/>
    <xf numFmtId="0" fontId="0" fillId="157" borderId="1" pivotButton="0" quotePrefix="0" xfId="0"/>
    <xf numFmtId="0" fontId="0" fillId="158" borderId="1" pivotButton="0" quotePrefix="0" xfId="0"/>
    <xf numFmtId="0" fontId="0" fillId="159" borderId="1" pivotButton="0" quotePrefix="0" xfId="0"/>
    <xf numFmtId="0" fontId="0" fillId="160" borderId="1" pivotButton="0" quotePrefix="0" xfId="0"/>
    <xf numFmtId="0" fontId="0" fillId="161" borderId="1" pivotButton="0" quotePrefix="0" xfId="0"/>
    <xf numFmtId="0" fontId="0" fillId="162" borderId="1" pivotButton="0" quotePrefix="0" xfId="0"/>
    <xf numFmtId="0" fontId="0" fillId="163" borderId="1" pivotButton="0" quotePrefix="0" xfId="0"/>
    <xf numFmtId="0" fontId="0" fillId="164" borderId="1" pivotButton="0" quotePrefix="0" xfId="0"/>
    <xf numFmtId="0" fontId="0" fillId="165" borderId="1" pivotButton="0" quotePrefix="0" xfId="0"/>
    <xf numFmtId="0" fontId="0" fillId="166" borderId="1" pivotButton="0" quotePrefix="0" xfId="0"/>
    <xf numFmtId="0" fontId="0" fillId="167" borderId="1" pivotButton="0" quotePrefix="0" xfId="0"/>
    <xf numFmtId="0" fontId="0" fillId="168" borderId="1" pivotButton="0" quotePrefix="0" xfId="0"/>
    <xf numFmtId="0" fontId="0" fillId="169" borderId="1" pivotButton="0" quotePrefix="0" xfId="0"/>
    <xf numFmtId="0" fontId="0" fillId="170" borderId="1" pivotButton="0" quotePrefix="0" xfId="0"/>
    <xf numFmtId="0" fontId="0" fillId="171" borderId="1" pivotButton="0" quotePrefix="0" xfId="0"/>
    <xf numFmtId="0" fontId="0" fillId="172" borderId="1" pivotButton="0" quotePrefix="0" xfId="0"/>
    <xf numFmtId="0" fontId="0" fillId="173" borderId="1" pivotButton="0" quotePrefix="0" xfId="0"/>
    <xf numFmtId="0" fontId="0" fillId="174" borderId="1" pivotButton="0" quotePrefix="0" xfId="0"/>
    <xf numFmtId="0" fontId="0" fillId="175" borderId="1" pivotButton="0" quotePrefix="0" xfId="0"/>
    <xf numFmtId="0" fontId="0" fillId="176" borderId="1" pivotButton="0" quotePrefix="0" xfId="0"/>
    <xf numFmtId="0" fontId="0" fillId="177" borderId="1" pivotButton="0" quotePrefix="0" xfId="0"/>
    <xf numFmtId="0" fontId="0" fillId="178" borderId="1" pivotButton="0" quotePrefix="0" xfId="0"/>
    <xf numFmtId="0" fontId="0" fillId="179" borderId="1" pivotButton="0" quotePrefix="0" xfId="0"/>
    <xf numFmtId="0" fontId="0" fillId="180" borderId="1" pivotButton="0" quotePrefix="0" xfId="0"/>
    <xf numFmtId="0" fontId="0" fillId="181" borderId="1" pivotButton="0" quotePrefix="0" xfId="0"/>
    <xf numFmtId="0" fontId="0" fillId="182" borderId="1" pivotButton="0" quotePrefix="0" xfId="0"/>
    <xf numFmtId="0" fontId="0" fillId="183" borderId="1" pivotButton="0" quotePrefix="0" xfId="0"/>
    <xf numFmtId="0" fontId="0" fillId="184" borderId="1" pivotButton="0" quotePrefix="0" xfId="0"/>
    <xf numFmtId="0" fontId="0" fillId="185" borderId="1" pivotButton="0" quotePrefix="0" xfId="0"/>
    <xf numFmtId="0" fontId="0" fillId="186" borderId="1" pivotButton="0" quotePrefix="0" xfId="0"/>
    <xf numFmtId="0" fontId="0" fillId="187" borderId="1" pivotButton="0" quotePrefix="0" xfId="0"/>
    <xf numFmtId="0" fontId="0" fillId="188" borderId="1" pivotButton="0" quotePrefix="0" xfId="0"/>
    <xf numFmtId="0" fontId="0" fillId="189" borderId="1" pivotButton="0" quotePrefix="0" xfId="0"/>
    <xf numFmtId="0" fontId="0" fillId="190" borderId="1" pivotButton="0" quotePrefix="0" xfId="0"/>
    <xf numFmtId="0" fontId="0" fillId="191" borderId="1" pivotButton="0" quotePrefix="0" xfId="0"/>
    <xf numFmtId="0" fontId="0" fillId="192" borderId="1" pivotButton="0" quotePrefix="0" xfId="0"/>
    <xf numFmtId="0" fontId="0" fillId="193" borderId="1" pivotButton="0" quotePrefix="0" xfId="0"/>
    <xf numFmtId="0" fontId="0" fillId="194" borderId="1" pivotButton="0" quotePrefix="0" xfId="0"/>
    <xf numFmtId="0" fontId="0" fillId="195" borderId="1" pivotButton="0" quotePrefix="0" xfId="0"/>
    <xf numFmtId="0" fontId="0" fillId="196" borderId="1" pivotButton="0" quotePrefix="0" xfId="0"/>
    <xf numFmtId="0" fontId="0" fillId="197" borderId="1" pivotButton="0" quotePrefix="0" xfId="0"/>
    <xf numFmtId="0" fontId="0" fillId="198" borderId="1" pivotButton="0" quotePrefix="0" xfId="0"/>
    <xf numFmtId="0" fontId="0" fillId="199" borderId="1" pivotButton="0" quotePrefix="0" xfId="0"/>
    <xf numFmtId="0" fontId="0" fillId="200" borderId="1" pivotButton="0" quotePrefix="0" xfId="0"/>
    <xf numFmtId="0" fontId="0" fillId="201" borderId="1" pivotButton="0" quotePrefix="0" xfId="0"/>
    <xf numFmtId="0" fontId="0" fillId="202" borderId="1" pivotButton="0" quotePrefix="0" xfId="0"/>
    <xf numFmtId="0" fontId="0" fillId="203" borderId="1" pivotButton="0" quotePrefix="0" xfId="0"/>
    <xf numFmtId="0" fontId="0" fillId="204" borderId="1" pivotButton="0" quotePrefix="0" xfId="0"/>
    <xf numFmtId="0" fontId="0" fillId="205" borderId="1" pivotButton="0" quotePrefix="0" xfId="0"/>
    <xf numFmtId="0" fontId="0" fillId="206" borderId="1" pivotButton="0" quotePrefix="0" xfId="0"/>
    <xf numFmtId="0" fontId="0" fillId="207" borderId="1" pivotButton="0" quotePrefix="0" xfId="0"/>
    <xf numFmtId="0" fontId="0" fillId="208" borderId="1" pivotButton="0" quotePrefix="0" xfId="0"/>
    <xf numFmtId="0" fontId="0" fillId="209" borderId="1" pivotButton="0" quotePrefix="0" xfId="0"/>
    <xf numFmtId="0" fontId="0" fillId="210" borderId="1" pivotButton="0" quotePrefix="0" xfId="0"/>
    <xf numFmtId="0" fontId="0" fillId="211" borderId="1" pivotButton="0" quotePrefix="0" xfId="0"/>
    <xf numFmtId="0" fontId="0" fillId="212" borderId="1" pivotButton="0" quotePrefix="0" xfId="0"/>
    <xf numFmtId="0" fontId="0" fillId="213" borderId="1" pivotButton="0" quotePrefix="0" xfId="0"/>
    <xf numFmtId="0" fontId="0" fillId="214" borderId="1" pivotButton="0" quotePrefix="0" xfId="0"/>
    <xf numFmtId="0" fontId="0" fillId="215" borderId="1" pivotButton="0" quotePrefix="0" xfId="0"/>
    <xf numFmtId="0" fontId="0" fillId="216" borderId="1" pivotButton="0" quotePrefix="0" xfId="0"/>
    <xf numFmtId="0" fontId="0" fillId="217" borderId="1" pivotButton="0" quotePrefix="0" xfId="0"/>
    <xf numFmtId="0" fontId="0" fillId="218" borderId="1" pivotButton="0" quotePrefix="0" xfId="0"/>
    <xf numFmtId="0" fontId="0" fillId="219" borderId="1" pivotButton="0" quotePrefix="0" xfId="0"/>
    <xf numFmtId="0" fontId="0" fillId="220" borderId="1" pivotButton="0" quotePrefix="0" xfId="0"/>
    <xf numFmtId="0" fontId="0" fillId="221" borderId="1" pivotButton="0" quotePrefix="0" xfId="0"/>
    <xf numFmtId="0" fontId="0" fillId="222" borderId="1" pivotButton="0" quotePrefix="0" xfId="0"/>
    <xf numFmtId="0" fontId="0" fillId="223" borderId="1" pivotButton="0" quotePrefix="0" xfId="0"/>
    <xf numFmtId="0" fontId="0" fillId="224" borderId="1" pivotButton="0" quotePrefix="0" xfId="0"/>
    <xf numFmtId="0" fontId="0" fillId="2" borderId="1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CE4E4"/>
        </patternFill>
      </fill>
    </dxf>
    <dxf>
      <fill>
        <patternFill patternType="solid">
          <fgColor rgb="00E7F6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9F1C"/>
    <outlinePr summaryBelow="1" summaryRight="1"/>
    <pageSetUpPr/>
  </sheetPr>
  <dimension ref="A1:I2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9" customWidth="1" min="3" max="3"/>
    <col width="13" customWidth="1" min="4" max="4"/>
    <col width="8" customWidth="1" min="5" max="5"/>
    <col width="12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豆计 · MARD 221 拼豆库存表（增强版）</t>
        </is>
      </c>
    </row>
    <row r="2">
      <c r="A2" s="2" t="inlineStr">
        <is>
          <t>社区版参考色 · 非官方精确色值 · 记账以色号为准 · 黄色单元格为可编辑输入区</t>
        </is>
      </c>
    </row>
    <row r="3">
      <c r="A3" s="3" t="inlineStr">
        <is>
          <t>当前总库存(颗)</t>
        </is>
      </c>
      <c r="B3" s="4">
        <f>SUM(D6:D226)</f>
        <v/>
      </c>
      <c r="C3" s="3" t="inlineStr">
        <is>
          <t>累计已用(颗)</t>
        </is>
      </c>
      <c r="D3" s="4">
        <f>SUM(H6:H226)</f>
        <v/>
      </c>
      <c r="E3" s="3" t="inlineStr">
        <is>
          <t>预警比例(%)</t>
        </is>
      </c>
      <c r="F3" s="5" t="n">
        <v>10</v>
      </c>
      <c r="G3" s="3" t="inlineStr">
        <is>
          <t>低库存色号数</t>
        </is>
      </c>
      <c r="H3" s="4">
        <f>COUNTIF(G6:G226,"⚠️*")</f>
        <v/>
      </c>
    </row>
    <row r="5">
      <c r="A5" s="6" t="inlineStr">
        <is>
          <t>色系</t>
        </is>
      </c>
      <c r="B5" s="6" t="inlineStr">
        <is>
          <t>色号</t>
        </is>
      </c>
      <c r="C5" s="6" t="inlineStr">
        <is>
          <t>参考色</t>
        </is>
      </c>
      <c r="D5" s="6" t="inlineStr">
        <is>
          <t>当前库存(颗)</t>
        </is>
      </c>
      <c r="E5" s="6" t="inlineStr">
        <is>
          <t>精度</t>
        </is>
      </c>
      <c r="F5" s="6" t="inlineStr">
        <is>
          <t>预警基准(颗)</t>
        </is>
      </c>
      <c r="G5" s="6" t="inlineStr">
        <is>
          <t>低库存</t>
        </is>
      </c>
      <c r="H5" s="6" t="inlineStr">
        <is>
          <t>累计已用(颗)</t>
        </is>
      </c>
      <c r="I5" s="6" t="inlineStr">
        <is>
          <t>备注</t>
        </is>
      </c>
    </row>
    <row r="6">
      <c r="A6" s="7" t="inlineStr">
        <is>
          <t>A · 黄橙</t>
        </is>
      </c>
      <c r="B6" s="8" t="inlineStr">
        <is>
          <t>A1</t>
        </is>
      </c>
      <c r="C6" s="9" t="n"/>
      <c r="D6" s="10" t="n"/>
      <c r="E6" s="10" t="inlineStr">
        <is>
          <t>估算</t>
        </is>
      </c>
      <c r="F6" s="10" t="n">
        <v>1000</v>
      </c>
      <c r="G6" s="11">
        <f>IF(OR($D6="",$F6=""),"",IF($F6&lt;=0,"",IF($D6/$F6*100&lt;=$F$3,"⚠️ 低库存","")))</f>
        <v/>
      </c>
      <c r="H6" s="10" t="n"/>
      <c r="I6" s="10" t="n"/>
    </row>
    <row r="7">
      <c r="A7" s="7" t="inlineStr">
        <is>
          <t>A · 黄橙</t>
        </is>
      </c>
      <c r="B7" s="8" t="inlineStr">
        <is>
          <t>A2</t>
        </is>
      </c>
      <c r="C7" s="12" t="n"/>
      <c r="D7" s="10" t="n"/>
      <c r="E7" s="10" t="inlineStr">
        <is>
          <t>估算</t>
        </is>
      </c>
      <c r="F7" s="10" t="n">
        <v>1000</v>
      </c>
      <c r="G7" s="11">
        <f>IF(OR($D7="",$F7=""),"",IF($F7&lt;=0,"",IF($D7/$F7*100&lt;=$F$3,"⚠️ 低库存","")))</f>
        <v/>
      </c>
      <c r="H7" s="10" t="n"/>
      <c r="I7" s="10" t="n"/>
    </row>
    <row r="8">
      <c r="A8" s="7" t="inlineStr">
        <is>
          <t>A · 黄橙</t>
        </is>
      </c>
      <c r="B8" s="8" t="inlineStr">
        <is>
          <t>A3</t>
        </is>
      </c>
      <c r="C8" s="13" t="n"/>
      <c r="D8" s="10" t="n"/>
      <c r="E8" s="10" t="inlineStr">
        <is>
          <t>估算</t>
        </is>
      </c>
      <c r="F8" s="10" t="n">
        <v>1000</v>
      </c>
      <c r="G8" s="11">
        <f>IF(OR($D8="",$F8=""),"",IF($F8&lt;=0,"",IF($D8/$F8*100&lt;=$F$3,"⚠️ 低库存","")))</f>
        <v/>
      </c>
      <c r="H8" s="10" t="n"/>
      <c r="I8" s="10" t="n"/>
    </row>
    <row r="9">
      <c r="A9" s="7" t="inlineStr">
        <is>
          <t>A · 黄橙</t>
        </is>
      </c>
      <c r="B9" s="8" t="inlineStr">
        <is>
          <t>A4</t>
        </is>
      </c>
      <c r="C9" s="14" t="n"/>
      <c r="D9" s="10" t="n"/>
      <c r="E9" s="10" t="inlineStr">
        <is>
          <t>估算</t>
        </is>
      </c>
      <c r="F9" s="10" t="n">
        <v>1000</v>
      </c>
      <c r="G9" s="11">
        <f>IF(OR($D9="",$F9=""),"",IF($F9&lt;=0,"",IF($D9/$F9*100&lt;=$F$3,"⚠️ 低库存","")))</f>
        <v/>
      </c>
      <c r="H9" s="10" t="n"/>
      <c r="I9" s="10" t="n"/>
    </row>
    <row r="10">
      <c r="A10" s="7" t="inlineStr">
        <is>
          <t>A · 黄橙</t>
        </is>
      </c>
      <c r="B10" s="8" t="inlineStr">
        <is>
          <t>A5</t>
        </is>
      </c>
      <c r="C10" s="15" t="n"/>
      <c r="D10" s="10" t="n"/>
      <c r="E10" s="10" t="inlineStr">
        <is>
          <t>估算</t>
        </is>
      </c>
      <c r="F10" s="10" t="n">
        <v>1000</v>
      </c>
      <c r="G10" s="11">
        <f>IF(OR($D10="",$F10=""),"",IF($F10&lt;=0,"",IF($D10/$F10*100&lt;=$F$3,"⚠️ 低库存","")))</f>
        <v/>
      </c>
      <c r="H10" s="10" t="n"/>
      <c r="I10" s="10" t="n"/>
    </row>
    <row r="11">
      <c r="A11" s="7" t="inlineStr">
        <is>
          <t>A · 黄橙</t>
        </is>
      </c>
      <c r="B11" s="8" t="inlineStr">
        <is>
          <t>A6</t>
        </is>
      </c>
      <c r="C11" s="16" t="n"/>
      <c r="D11" s="10" t="n"/>
      <c r="E11" s="10" t="inlineStr">
        <is>
          <t>估算</t>
        </is>
      </c>
      <c r="F11" s="10" t="n">
        <v>1000</v>
      </c>
      <c r="G11" s="11">
        <f>IF(OR($D11="",$F11=""),"",IF($F11&lt;=0,"",IF($D11/$F11*100&lt;=$F$3,"⚠️ 低库存","")))</f>
        <v/>
      </c>
      <c r="H11" s="10" t="n"/>
      <c r="I11" s="10" t="n"/>
    </row>
    <row r="12">
      <c r="A12" s="7" t="inlineStr">
        <is>
          <t>A · 黄橙</t>
        </is>
      </c>
      <c r="B12" s="8" t="inlineStr">
        <is>
          <t>A7</t>
        </is>
      </c>
      <c r="C12" s="17" t="n"/>
      <c r="D12" s="10" t="n"/>
      <c r="E12" s="10" t="inlineStr">
        <is>
          <t>估算</t>
        </is>
      </c>
      <c r="F12" s="10" t="n">
        <v>1000</v>
      </c>
      <c r="G12" s="11">
        <f>IF(OR($D12="",$F12=""),"",IF($F12&lt;=0,"",IF($D12/$F12*100&lt;=$F$3,"⚠️ 低库存","")))</f>
        <v/>
      </c>
      <c r="H12" s="10" t="n"/>
      <c r="I12" s="10" t="n"/>
    </row>
    <row r="13">
      <c r="A13" s="7" t="inlineStr">
        <is>
          <t>A · 黄橙</t>
        </is>
      </c>
      <c r="B13" s="8" t="inlineStr">
        <is>
          <t>A8</t>
        </is>
      </c>
      <c r="C13" s="18" t="n"/>
      <c r="D13" s="10" t="n"/>
      <c r="E13" s="10" t="inlineStr">
        <is>
          <t>估算</t>
        </is>
      </c>
      <c r="F13" s="10" t="n">
        <v>1000</v>
      </c>
      <c r="G13" s="11">
        <f>IF(OR($D13="",$F13=""),"",IF($F13&lt;=0,"",IF($D13/$F13*100&lt;=$F$3,"⚠️ 低库存","")))</f>
        <v/>
      </c>
      <c r="H13" s="10" t="n"/>
      <c r="I13" s="10" t="n"/>
    </row>
    <row r="14">
      <c r="A14" s="7" t="inlineStr">
        <is>
          <t>A · 黄橙</t>
        </is>
      </c>
      <c r="B14" s="8" t="inlineStr">
        <is>
          <t>A9</t>
        </is>
      </c>
      <c r="C14" s="19" t="n"/>
      <c r="D14" s="10" t="n"/>
      <c r="E14" s="10" t="inlineStr">
        <is>
          <t>估算</t>
        </is>
      </c>
      <c r="F14" s="10" t="n">
        <v>1000</v>
      </c>
      <c r="G14" s="11">
        <f>IF(OR($D14="",$F14=""),"",IF($F14&lt;=0,"",IF($D14/$F14*100&lt;=$F$3,"⚠️ 低库存","")))</f>
        <v/>
      </c>
      <c r="H14" s="10" t="n"/>
      <c r="I14" s="10" t="n"/>
    </row>
    <row r="15">
      <c r="A15" s="7" t="inlineStr">
        <is>
          <t>A · 黄橙</t>
        </is>
      </c>
      <c r="B15" s="8" t="inlineStr">
        <is>
          <t>A10</t>
        </is>
      </c>
      <c r="C15" s="20" t="n"/>
      <c r="D15" s="10" t="n"/>
      <c r="E15" s="10" t="inlineStr">
        <is>
          <t>估算</t>
        </is>
      </c>
      <c r="F15" s="10" t="n">
        <v>1000</v>
      </c>
      <c r="G15" s="11">
        <f>IF(OR($D15="",$F15=""),"",IF($F15&lt;=0,"",IF($D15/$F15*100&lt;=$F$3,"⚠️ 低库存","")))</f>
        <v/>
      </c>
      <c r="H15" s="10" t="n"/>
      <c r="I15" s="10" t="n"/>
    </row>
    <row r="16">
      <c r="A16" s="7" t="inlineStr">
        <is>
          <t>A · 黄橙</t>
        </is>
      </c>
      <c r="B16" s="8" t="inlineStr">
        <is>
          <t>A11</t>
        </is>
      </c>
      <c r="C16" s="21" t="n"/>
      <c r="D16" s="10" t="n"/>
      <c r="E16" s="10" t="inlineStr">
        <is>
          <t>估算</t>
        </is>
      </c>
      <c r="F16" s="10" t="n">
        <v>1000</v>
      </c>
      <c r="G16" s="11">
        <f>IF(OR($D16="",$F16=""),"",IF($F16&lt;=0,"",IF($D16/$F16*100&lt;=$F$3,"⚠️ 低库存","")))</f>
        <v/>
      </c>
      <c r="H16" s="10" t="n"/>
      <c r="I16" s="10" t="n"/>
    </row>
    <row r="17">
      <c r="A17" s="7" t="inlineStr">
        <is>
          <t>A · 黄橙</t>
        </is>
      </c>
      <c r="B17" s="8" t="inlineStr">
        <is>
          <t>A12</t>
        </is>
      </c>
      <c r="C17" s="22" t="n"/>
      <c r="D17" s="10" t="n"/>
      <c r="E17" s="10" t="inlineStr">
        <is>
          <t>估算</t>
        </is>
      </c>
      <c r="F17" s="10" t="n">
        <v>1000</v>
      </c>
      <c r="G17" s="11">
        <f>IF(OR($D17="",$F17=""),"",IF($F17&lt;=0,"",IF($D17/$F17*100&lt;=$F$3,"⚠️ 低库存","")))</f>
        <v/>
      </c>
      <c r="H17" s="10" t="n"/>
      <c r="I17" s="10" t="n"/>
    </row>
    <row r="18">
      <c r="A18" s="7" t="inlineStr">
        <is>
          <t>A · 黄橙</t>
        </is>
      </c>
      <c r="B18" s="8" t="inlineStr">
        <is>
          <t>A13</t>
        </is>
      </c>
      <c r="C18" s="23" t="n"/>
      <c r="D18" s="10" t="n"/>
      <c r="E18" s="10" t="inlineStr">
        <is>
          <t>估算</t>
        </is>
      </c>
      <c r="F18" s="10" t="n">
        <v>1000</v>
      </c>
      <c r="G18" s="11">
        <f>IF(OR($D18="",$F18=""),"",IF($F18&lt;=0,"",IF($D18/$F18*100&lt;=$F$3,"⚠️ 低库存","")))</f>
        <v/>
      </c>
      <c r="H18" s="10" t="n"/>
      <c r="I18" s="10" t="n"/>
    </row>
    <row r="19">
      <c r="A19" s="7" t="inlineStr">
        <is>
          <t>A · 黄橙</t>
        </is>
      </c>
      <c r="B19" s="8" t="inlineStr">
        <is>
          <t>A14</t>
        </is>
      </c>
      <c r="C19" s="24" t="n"/>
      <c r="D19" s="10" t="n"/>
      <c r="E19" s="10" t="inlineStr">
        <is>
          <t>估算</t>
        </is>
      </c>
      <c r="F19" s="10" t="n">
        <v>1000</v>
      </c>
      <c r="G19" s="11">
        <f>IF(OR($D19="",$F19=""),"",IF($F19&lt;=0,"",IF($D19/$F19*100&lt;=$F$3,"⚠️ 低库存","")))</f>
        <v/>
      </c>
      <c r="H19" s="10" t="n"/>
      <c r="I19" s="10" t="n"/>
    </row>
    <row r="20">
      <c r="A20" s="7" t="inlineStr">
        <is>
          <t>A · 黄橙</t>
        </is>
      </c>
      <c r="B20" s="8" t="inlineStr">
        <is>
          <t>A15</t>
        </is>
      </c>
      <c r="C20" s="25" t="n"/>
      <c r="D20" s="10" t="n"/>
      <c r="E20" s="10" t="inlineStr">
        <is>
          <t>估算</t>
        </is>
      </c>
      <c r="F20" s="10" t="n">
        <v>1000</v>
      </c>
      <c r="G20" s="11">
        <f>IF(OR($D20="",$F20=""),"",IF($F20&lt;=0,"",IF($D20/$F20*100&lt;=$F$3,"⚠️ 低库存","")))</f>
        <v/>
      </c>
      <c r="H20" s="10" t="n"/>
      <c r="I20" s="10" t="n"/>
    </row>
    <row r="21">
      <c r="A21" s="7" t="inlineStr">
        <is>
          <t>A · 黄橙</t>
        </is>
      </c>
      <c r="B21" s="8" t="inlineStr">
        <is>
          <t>A16</t>
        </is>
      </c>
      <c r="C21" s="26" t="n"/>
      <c r="D21" s="10" t="n"/>
      <c r="E21" s="10" t="inlineStr">
        <is>
          <t>估算</t>
        </is>
      </c>
      <c r="F21" s="10" t="n">
        <v>1000</v>
      </c>
      <c r="G21" s="11">
        <f>IF(OR($D21="",$F21=""),"",IF($F21&lt;=0,"",IF($D21/$F21*100&lt;=$F$3,"⚠️ 低库存","")))</f>
        <v/>
      </c>
      <c r="H21" s="10" t="n"/>
      <c r="I21" s="10" t="n"/>
    </row>
    <row r="22">
      <c r="A22" s="7" t="inlineStr">
        <is>
          <t>A · 黄橙</t>
        </is>
      </c>
      <c r="B22" s="8" t="inlineStr">
        <is>
          <t>A17</t>
        </is>
      </c>
      <c r="C22" s="27" t="n"/>
      <c r="D22" s="10" t="n"/>
      <c r="E22" s="10" t="inlineStr">
        <is>
          <t>估算</t>
        </is>
      </c>
      <c r="F22" s="10" t="n">
        <v>1000</v>
      </c>
      <c r="G22" s="11">
        <f>IF(OR($D22="",$F22=""),"",IF($F22&lt;=0,"",IF($D22/$F22*100&lt;=$F$3,"⚠️ 低库存","")))</f>
        <v/>
      </c>
      <c r="H22" s="10" t="n"/>
      <c r="I22" s="10" t="n"/>
    </row>
    <row r="23">
      <c r="A23" s="7" t="inlineStr">
        <is>
          <t>A · 黄橙</t>
        </is>
      </c>
      <c r="B23" s="8" t="inlineStr">
        <is>
          <t>A18</t>
        </is>
      </c>
      <c r="C23" s="28" t="n"/>
      <c r="D23" s="10" t="n"/>
      <c r="E23" s="10" t="inlineStr">
        <is>
          <t>估算</t>
        </is>
      </c>
      <c r="F23" s="10" t="n">
        <v>1000</v>
      </c>
      <c r="G23" s="11">
        <f>IF(OR($D23="",$F23=""),"",IF($F23&lt;=0,"",IF($D23/$F23*100&lt;=$F$3,"⚠️ 低库存","")))</f>
        <v/>
      </c>
      <c r="H23" s="10" t="n"/>
      <c r="I23" s="10" t="n"/>
    </row>
    <row r="24">
      <c r="A24" s="7" t="inlineStr">
        <is>
          <t>A · 黄橙</t>
        </is>
      </c>
      <c r="B24" s="8" t="inlineStr">
        <is>
          <t>A19</t>
        </is>
      </c>
      <c r="C24" s="29" t="n"/>
      <c r="D24" s="10" t="n"/>
      <c r="E24" s="10" t="inlineStr">
        <is>
          <t>估算</t>
        </is>
      </c>
      <c r="F24" s="10" t="n">
        <v>1000</v>
      </c>
      <c r="G24" s="11">
        <f>IF(OR($D24="",$F24=""),"",IF($F24&lt;=0,"",IF($D24/$F24*100&lt;=$F$3,"⚠️ 低库存","")))</f>
        <v/>
      </c>
      <c r="H24" s="10" t="n"/>
      <c r="I24" s="10" t="n"/>
    </row>
    <row r="25">
      <c r="A25" s="7" t="inlineStr">
        <is>
          <t>A · 黄橙</t>
        </is>
      </c>
      <c r="B25" s="8" t="inlineStr">
        <is>
          <t>A20</t>
        </is>
      </c>
      <c r="C25" s="30" t="n"/>
      <c r="D25" s="10" t="n"/>
      <c r="E25" s="10" t="inlineStr">
        <is>
          <t>估算</t>
        </is>
      </c>
      <c r="F25" s="10" t="n">
        <v>1000</v>
      </c>
      <c r="G25" s="11">
        <f>IF(OR($D25="",$F25=""),"",IF($F25&lt;=0,"",IF($D25/$F25*100&lt;=$F$3,"⚠️ 低库存","")))</f>
        <v/>
      </c>
      <c r="H25" s="10" t="n"/>
      <c r="I25" s="10" t="n"/>
    </row>
    <row r="26">
      <c r="A26" s="7" t="inlineStr">
        <is>
          <t>A · 黄橙</t>
        </is>
      </c>
      <c r="B26" s="8" t="inlineStr">
        <is>
          <t>A21</t>
        </is>
      </c>
      <c r="C26" s="31" t="n"/>
      <c r="D26" s="10" t="n"/>
      <c r="E26" s="10" t="inlineStr">
        <is>
          <t>估算</t>
        </is>
      </c>
      <c r="F26" s="10" t="n">
        <v>1000</v>
      </c>
      <c r="G26" s="11">
        <f>IF(OR($D26="",$F26=""),"",IF($F26&lt;=0,"",IF($D26/$F26*100&lt;=$F$3,"⚠️ 低库存","")))</f>
        <v/>
      </c>
      <c r="H26" s="10" t="n"/>
      <c r="I26" s="10" t="n"/>
    </row>
    <row r="27">
      <c r="A27" s="7" t="inlineStr">
        <is>
          <t>A · 黄橙</t>
        </is>
      </c>
      <c r="B27" s="8" t="inlineStr">
        <is>
          <t>A22</t>
        </is>
      </c>
      <c r="C27" s="32" t="n"/>
      <c r="D27" s="10" t="n"/>
      <c r="E27" s="10" t="inlineStr">
        <is>
          <t>估算</t>
        </is>
      </c>
      <c r="F27" s="10" t="n">
        <v>1000</v>
      </c>
      <c r="G27" s="11">
        <f>IF(OR($D27="",$F27=""),"",IF($F27&lt;=0,"",IF($D27/$F27*100&lt;=$F$3,"⚠️ 低库存","")))</f>
        <v/>
      </c>
      <c r="H27" s="10" t="n"/>
      <c r="I27" s="10" t="n"/>
    </row>
    <row r="28">
      <c r="A28" s="7" t="inlineStr">
        <is>
          <t>A · 黄橙</t>
        </is>
      </c>
      <c r="B28" s="8" t="inlineStr">
        <is>
          <t>A23</t>
        </is>
      </c>
      <c r="C28" s="33" t="n"/>
      <c r="D28" s="10" t="n"/>
      <c r="E28" s="10" t="inlineStr">
        <is>
          <t>估算</t>
        </is>
      </c>
      <c r="F28" s="10" t="n">
        <v>1000</v>
      </c>
      <c r="G28" s="11">
        <f>IF(OR($D28="",$F28=""),"",IF($F28&lt;=0,"",IF($D28/$F28*100&lt;=$F$3,"⚠️ 低库存","")))</f>
        <v/>
      </c>
      <c r="H28" s="10" t="n"/>
      <c r="I28" s="10" t="n"/>
    </row>
    <row r="29">
      <c r="A29" s="7" t="inlineStr">
        <is>
          <t>A · 黄橙</t>
        </is>
      </c>
      <c r="B29" s="8" t="inlineStr">
        <is>
          <t>A24</t>
        </is>
      </c>
      <c r="C29" s="34" t="n"/>
      <c r="D29" s="10" t="n"/>
      <c r="E29" s="10" t="inlineStr">
        <is>
          <t>估算</t>
        </is>
      </c>
      <c r="F29" s="10" t="n">
        <v>1000</v>
      </c>
      <c r="G29" s="11">
        <f>IF(OR($D29="",$F29=""),"",IF($F29&lt;=0,"",IF($D29/$F29*100&lt;=$F$3,"⚠️ 低库存","")))</f>
        <v/>
      </c>
      <c r="H29" s="10" t="n"/>
      <c r="I29" s="10" t="n"/>
    </row>
    <row r="30">
      <c r="A30" s="7" t="inlineStr">
        <is>
          <t>A · 黄橙</t>
        </is>
      </c>
      <c r="B30" s="8" t="inlineStr">
        <is>
          <t>A25</t>
        </is>
      </c>
      <c r="C30" s="35" t="n"/>
      <c r="D30" s="10" t="n"/>
      <c r="E30" s="10" t="inlineStr">
        <is>
          <t>估算</t>
        </is>
      </c>
      <c r="F30" s="10" t="n">
        <v>1000</v>
      </c>
      <c r="G30" s="11">
        <f>IF(OR($D30="",$F30=""),"",IF($F30&lt;=0,"",IF($D30/$F30*100&lt;=$F$3,"⚠️ 低库存","")))</f>
        <v/>
      </c>
      <c r="H30" s="10" t="n"/>
      <c r="I30" s="10" t="n"/>
    </row>
    <row r="31">
      <c r="A31" s="7" t="inlineStr">
        <is>
          <t>A · 黄橙</t>
        </is>
      </c>
      <c r="B31" s="8" t="inlineStr">
        <is>
          <t>A26</t>
        </is>
      </c>
      <c r="C31" s="36" t="n"/>
      <c r="D31" s="10" t="n"/>
      <c r="E31" s="10" t="inlineStr">
        <is>
          <t>估算</t>
        </is>
      </c>
      <c r="F31" s="10" t="n">
        <v>1000</v>
      </c>
      <c r="G31" s="11">
        <f>IF(OR($D31="",$F31=""),"",IF($F31&lt;=0,"",IF($D31/$F31*100&lt;=$F$3,"⚠️ 低库存","")))</f>
        <v/>
      </c>
      <c r="H31" s="10" t="n"/>
      <c r="I31" s="10" t="n"/>
    </row>
    <row r="32">
      <c r="A32" s="7" t="inlineStr">
        <is>
          <t>B · 绿色</t>
        </is>
      </c>
      <c r="B32" s="8" t="inlineStr">
        <is>
          <t>B1</t>
        </is>
      </c>
      <c r="C32" s="37" t="n"/>
      <c r="D32" s="10" t="n"/>
      <c r="E32" s="10" t="inlineStr">
        <is>
          <t>估算</t>
        </is>
      </c>
      <c r="F32" s="10" t="n">
        <v>1000</v>
      </c>
      <c r="G32" s="11">
        <f>IF(OR($D32="",$F32=""),"",IF($F32&lt;=0,"",IF($D32/$F32*100&lt;=$F$3,"⚠️ 低库存","")))</f>
        <v/>
      </c>
      <c r="H32" s="10" t="n"/>
      <c r="I32" s="10" t="n"/>
    </row>
    <row r="33">
      <c r="A33" s="7" t="inlineStr">
        <is>
          <t>B · 绿色</t>
        </is>
      </c>
      <c r="B33" s="8" t="inlineStr">
        <is>
          <t>B2</t>
        </is>
      </c>
      <c r="C33" s="38" t="n"/>
      <c r="D33" s="10" t="n"/>
      <c r="E33" s="10" t="inlineStr">
        <is>
          <t>估算</t>
        </is>
      </c>
      <c r="F33" s="10" t="n">
        <v>1000</v>
      </c>
      <c r="G33" s="11">
        <f>IF(OR($D33="",$F33=""),"",IF($F33&lt;=0,"",IF($D33/$F33*100&lt;=$F$3,"⚠️ 低库存","")))</f>
        <v/>
      </c>
      <c r="H33" s="10" t="n"/>
      <c r="I33" s="10" t="n"/>
    </row>
    <row r="34">
      <c r="A34" s="7" t="inlineStr">
        <is>
          <t>B · 绿色</t>
        </is>
      </c>
      <c r="B34" s="8" t="inlineStr">
        <is>
          <t>B3</t>
        </is>
      </c>
      <c r="C34" s="39" t="n"/>
      <c r="D34" s="10" t="n"/>
      <c r="E34" s="10" t="inlineStr">
        <is>
          <t>估算</t>
        </is>
      </c>
      <c r="F34" s="10" t="n">
        <v>1000</v>
      </c>
      <c r="G34" s="11">
        <f>IF(OR($D34="",$F34=""),"",IF($F34&lt;=0,"",IF($D34/$F34*100&lt;=$F$3,"⚠️ 低库存","")))</f>
        <v/>
      </c>
      <c r="H34" s="10" t="n"/>
      <c r="I34" s="10" t="n"/>
    </row>
    <row r="35">
      <c r="A35" s="7" t="inlineStr">
        <is>
          <t>B · 绿色</t>
        </is>
      </c>
      <c r="B35" s="8" t="inlineStr">
        <is>
          <t>B4</t>
        </is>
      </c>
      <c r="C35" s="40" t="n"/>
      <c r="D35" s="10" t="n"/>
      <c r="E35" s="10" t="inlineStr">
        <is>
          <t>估算</t>
        </is>
      </c>
      <c r="F35" s="10" t="n">
        <v>1000</v>
      </c>
      <c r="G35" s="11">
        <f>IF(OR($D35="",$F35=""),"",IF($F35&lt;=0,"",IF($D35/$F35*100&lt;=$F$3,"⚠️ 低库存","")))</f>
        <v/>
      </c>
      <c r="H35" s="10" t="n"/>
      <c r="I35" s="10" t="n"/>
    </row>
    <row r="36">
      <c r="A36" s="7" t="inlineStr">
        <is>
          <t>B · 绿色</t>
        </is>
      </c>
      <c r="B36" s="8" t="inlineStr">
        <is>
          <t>B5</t>
        </is>
      </c>
      <c r="C36" s="41" t="n"/>
      <c r="D36" s="10" t="n"/>
      <c r="E36" s="10" t="inlineStr">
        <is>
          <t>估算</t>
        </is>
      </c>
      <c r="F36" s="10" t="n">
        <v>1000</v>
      </c>
      <c r="G36" s="11">
        <f>IF(OR($D36="",$F36=""),"",IF($F36&lt;=0,"",IF($D36/$F36*100&lt;=$F$3,"⚠️ 低库存","")))</f>
        <v/>
      </c>
      <c r="H36" s="10" t="n"/>
      <c r="I36" s="10" t="n"/>
    </row>
    <row r="37">
      <c r="A37" s="7" t="inlineStr">
        <is>
          <t>B · 绿色</t>
        </is>
      </c>
      <c r="B37" s="8" t="inlineStr">
        <is>
          <t>B6</t>
        </is>
      </c>
      <c r="C37" s="42" t="n"/>
      <c r="D37" s="10" t="n"/>
      <c r="E37" s="10" t="inlineStr">
        <is>
          <t>估算</t>
        </is>
      </c>
      <c r="F37" s="10" t="n">
        <v>1000</v>
      </c>
      <c r="G37" s="11">
        <f>IF(OR($D37="",$F37=""),"",IF($F37&lt;=0,"",IF($D37/$F37*100&lt;=$F$3,"⚠️ 低库存","")))</f>
        <v/>
      </c>
      <c r="H37" s="10" t="n"/>
      <c r="I37" s="10" t="n"/>
    </row>
    <row r="38">
      <c r="A38" s="7" t="inlineStr">
        <is>
          <t>B · 绿色</t>
        </is>
      </c>
      <c r="B38" s="8" t="inlineStr">
        <is>
          <t>B7</t>
        </is>
      </c>
      <c r="C38" s="43" t="n"/>
      <c r="D38" s="10" t="n"/>
      <c r="E38" s="10" t="inlineStr">
        <is>
          <t>估算</t>
        </is>
      </c>
      <c r="F38" s="10" t="n">
        <v>1000</v>
      </c>
      <c r="G38" s="11">
        <f>IF(OR($D38="",$F38=""),"",IF($F38&lt;=0,"",IF($D38/$F38*100&lt;=$F$3,"⚠️ 低库存","")))</f>
        <v/>
      </c>
      <c r="H38" s="10" t="n"/>
      <c r="I38" s="10" t="n"/>
    </row>
    <row r="39">
      <c r="A39" s="7" t="inlineStr">
        <is>
          <t>B · 绿色</t>
        </is>
      </c>
      <c r="B39" s="8" t="inlineStr">
        <is>
          <t>B8</t>
        </is>
      </c>
      <c r="C39" s="44" t="n"/>
      <c r="D39" s="10" t="n"/>
      <c r="E39" s="10" t="inlineStr">
        <is>
          <t>估算</t>
        </is>
      </c>
      <c r="F39" s="10" t="n">
        <v>1000</v>
      </c>
      <c r="G39" s="11">
        <f>IF(OR($D39="",$F39=""),"",IF($F39&lt;=0,"",IF($D39/$F39*100&lt;=$F$3,"⚠️ 低库存","")))</f>
        <v/>
      </c>
      <c r="H39" s="10" t="n"/>
      <c r="I39" s="10" t="n"/>
    </row>
    <row r="40">
      <c r="A40" s="7" t="inlineStr">
        <is>
          <t>B · 绿色</t>
        </is>
      </c>
      <c r="B40" s="8" t="inlineStr">
        <is>
          <t>B9</t>
        </is>
      </c>
      <c r="C40" s="45" t="n"/>
      <c r="D40" s="10" t="n"/>
      <c r="E40" s="10" t="inlineStr">
        <is>
          <t>估算</t>
        </is>
      </c>
      <c r="F40" s="10" t="n">
        <v>1000</v>
      </c>
      <c r="G40" s="11">
        <f>IF(OR($D40="",$F40=""),"",IF($F40&lt;=0,"",IF($D40/$F40*100&lt;=$F$3,"⚠️ 低库存","")))</f>
        <v/>
      </c>
      <c r="H40" s="10" t="n"/>
      <c r="I40" s="10" t="n"/>
    </row>
    <row r="41">
      <c r="A41" s="7" t="inlineStr">
        <is>
          <t>B · 绿色</t>
        </is>
      </c>
      <c r="B41" s="8" t="inlineStr">
        <is>
          <t>B10</t>
        </is>
      </c>
      <c r="C41" s="46" t="n"/>
      <c r="D41" s="10" t="n"/>
      <c r="E41" s="10" t="inlineStr">
        <is>
          <t>估算</t>
        </is>
      </c>
      <c r="F41" s="10" t="n">
        <v>1000</v>
      </c>
      <c r="G41" s="11">
        <f>IF(OR($D41="",$F41=""),"",IF($F41&lt;=0,"",IF($D41/$F41*100&lt;=$F$3,"⚠️ 低库存","")))</f>
        <v/>
      </c>
      <c r="H41" s="10" t="n"/>
      <c r="I41" s="10" t="n"/>
    </row>
    <row r="42">
      <c r="A42" s="7" t="inlineStr">
        <is>
          <t>B · 绿色</t>
        </is>
      </c>
      <c r="B42" s="8" t="inlineStr">
        <is>
          <t>B11</t>
        </is>
      </c>
      <c r="C42" s="47" t="n"/>
      <c r="D42" s="10" t="n"/>
      <c r="E42" s="10" t="inlineStr">
        <is>
          <t>估算</t>
        </is>
      </c>
      <c r="F42" s="10" t="n">
        <v>1000</v>
      </c>
      <c r="G42" s="11">
        <f>IF(OR($D42="",$F42=""),"",IF($F42&lt;=0,"",IF($D42/$F42*100&lt;=$F$3,"⚠️ 低库存","")))</f>
        <v/>
      </c>
      <c r="H42" s="10" t="n"/>
      <c r="I42" s="10" t="n"/>
    </row>
    <row r="43">
      <c r="A43" s="7" t="inlineStr">
        <is>
          <t>B · 绿色</t>
        </is>
      </c>
      <c r="B43" s="8" t="inlineStr">
        <is>
          <t>B12</t>
        </is>
      </c>
      <c r="C43" s="48" t="n"/>
      <c r="D43" s="10" t="n"/>
      <c r="E43" s="10" t="inlineStr">
        <is>
          <t>估算</t>
        </is>
      </c>
      <c r="F43" s="10" t="n">
        <v>1000</v>
      </c>
      <c r="G43" s="11">
        <f>IF(OR($D43="",$F43=""),"",IF($F43&lt;=0,"",IF($D43/$F43*100&lt;=$F$3,"⚠️ 低库存","")))</f>
        <v/>
      </c>
      <c r="H43" s="10" t="n"/>
      <c r="I43" s="10" t="n"/>
    </row>
    <row r="44">
      <c r="A44" s="7" t="inlineStr">
        <is>
          <t>B · 绿色</t>
        </is>
      </c>
      <c r="B44" s="8" t="inlineStr">
        <is>
          <t>B13</t>
        </is>
      </c>
      <c r="C44" s="49" t="n"/>
      <c r="D44" s="10" t="n"/>
      <c r="E44" s="10" t="inlineStr">
        <is>
          <t>估算</t>
        </is>
      </c>
      <c r="F44" s="10" t="n">
        <v>1000</v>
      </c>
      <c r="G44" s="11">
        <f>IF(OR($D44="",$F44=""),"",IF($F44&lt;=0,"",IF($D44/$F44*100&lt;=$F$3,"⚠️ 低库存","")))</f>
        <v/>
      </c>
      <c r="H44" s="10" t="n"/>
      <c r="I44" s="10" t="n"/>
    </row>
    <row r="45">
      <c r="A45" s="7" t="inlineStr">
        <is>
          <t>B · 绿色</t>
        </is>
      </c>
      <c r="B45" s="8" t="inlineStr">
        <is>
          <t>B14</t>
        </is>
      </c>
      <c r="C45" s="50" t="n"/>
      <c r="D45" s="10" t="n"/>
      <c r="E45" s="10" t="inlineStr">
        <is>
          <t>估算</t>
        </is>
      </c>
      <c r="F45" s="10" t="n">
        <v>1000</v>
      </c>
      <c r="G45" s="11">
        <f>IF(OR($D45="",$F45=""),"",IF($F45&lt;=0,"",IF($D45/$F45*100&lt;=$F$3,"⚠️ 低库存","")))</f>
        <v/>
      </c>
      <c r="H45" s="10" t="n"/>
      <c r="I45" s="10" t="n"/>
    </row>
    <row r="46">
      <c r="A46" s="7" t="inlineStr">
        <is>
          <t>B · 绿色</t>
        </is>
      </c>
      <c r="B46" s="8" t="inlineStr">
        <is>
          <t>B15</t>
        </is>
      </c>
      <c r="C46" s="51" t="n"/>
      <c r="D46" s="10" t="n"/>
      <c r="E46" s="10" t="inlineStr">
        <is>
          <t>估算</t>
        </is>
      </c>
      <c r="F46" s="10" t="n">
        <v>1000</v>
      </c>
      <c r="G46" s="11">
        <f>IF(OR($D46="",$F46=""),"",IF($F46&lt;=0,"",IF($D46/$F46*100&lt;=$F$3,"⚠️ 低库存","")))</f>
        <v/>
      </c>
      <c r="H46" s="10" t="n"/>
      <c r="I46" s="10" t="n"/>
    </row>
    <row r="47">
      <c r="A47" s="7" t="inlineStr">
        <is>
          <t>B · 绿色</t>
        </is>
      </c>
      <c r="B47" s="8" t="inlineStr">
        <is>
          <t>B16</t>
        </is>
      </c>
      <c r="C47" s="52" t="n"/>
      <c r="D47" s="10" t="n"/>
      <c r="E47" s="10" t="inlineStr">
        <is>
          <t>估算</t>
        </is>
      </c>
      <c r="F47" s="10" t="n">
        <v>1000</v>
      </c>
      <c r="G47" s="11">
        <f>IF(OR($D47="",$F47=""),"",IF($F47&lt;=0,"",IF($D47/$F47*100&lt;=$F$3,"⚠️ 低库存","")))</f>
        <v/>
      </c>
      <c r="H47" s="10" t="n"/>
      <c r="I47" s="10" t="n"/>
    </row>
    <row r="48">
      <c r="A48" s="7" t="inlineStr">
        <is>
          <t>B · 绿色</t>
        </is>
      </c>
      <c r="B48" s="8" t="inlineStr">
        <is>
          <t>B17</t>
        </is>
      </c>
      <c r="C48" s="53" t="n"/>
      <c r="D48" s="10" t="n"/>
      <c r="E48" s="10" t="inlineStr">
        <is>
          <t>估算</t>
        </is>
      </c>
      <c r="F48" s="10" t="n">
        <v>1000</v>
      </c>
      <c r="G48" s="11">
        <f>IF(OR($D48="",$F48=""),"",IF($F48&lt;=0,"",IF($D48/$F48*100&lt;=$F$3,"⚠️ 低库存","")))</f>
        <v/>
      </c>
      <c r="H48" s="10" t="n"/>
      <c r="I48" s="10" t="n"/>
    </row>
    <row r="49">
      <c r="A49" s="7" t="inlineStr">
        <is>
          <t>B · 绿色</t>
        </is>
      </c>
      <c r="B49" s="8" t="inlineStr">
        <is>
          <t>B18</t>
        </is>
      </c>
      <c r="C49" s="54" t="n"/>
      <c r="D49" s="10" t="n"/>
      <c r="E49" s="10" t="inlineStr">
        <is>
          <t>估算</t>
        </is>
      </c>
      <c r="F49" s="10" t="n">
        <v>1000</v>
      </c>
      <c r="G49" s="11">
        <f>IF(OR($D49="",$F49=""),"",IF($F49&lt;=0,"",IF($D49/$F49*100&lt;=$F$3,"⚠️ 低库存","")))</f>
        <v/>
      </c>
      <c r="H49" s="10" t="n"/>
      <c r="I49" s="10" t="n"/>
    </row>
    <row r="50">
      <c r="A50" s="7" t="inlineStr">
        <is>
          <t>B · 绿色</t>
        </is>
      </c>
      <c r="B50" s="8" t="inlineStr">
        <is>
          <t>B19</t>
        </is>
      </c>
      <c r="C50" s="55" t="n"/>
      <c r="D50" s="10" t="n"/>
      <c r="E50" s="10" t="inlineStr">
        <is>
          <t>估算</t>
        </is>
      </c>
      <c r="F50" s="10" t="n">
        <v>1000</v>
      </c>
      <c r="G50" s="11">
        <f>IF(OR($D50="",$F50=""),"",IF($F50&lt;=0,"",IF($D50/$F50*100&lt;=$F$3,"⚠️ 低库存","")))</f>
        <v/>
      </c>
      <c r="H50" s="10" t="n"/>
      <c r="I50" s="10" t="n"/>
    </row>
    <row r="51">
      <c r="A51" s="7" t="inlineStr">
        <is>
          <t>B · 绿色</t>
        </is>
      </c>
      <c r="B51" s="8" t="inlineStr">
        <is>
          <t>B20</t>
        </is>
      </c>
      <c r="C51" s="56" t="n"/>
      <c r="D51" s="10" t="n"/>
      <c r="E51" s="10" t="inlineStr">
        <is>
          <t>估算</t>
        </is>
      </c>
      <c r="F51" s="10" t="n">
        <v>1000</v>
      </c>
      <c r="G51" s="11">
        <f>IF(OR($D51="",$F51=""),"",IF($F51&lt;=0,"",IF($D51/$F51*100&lt;=$F$3,"⚠️ 低库存","")))</f>
        <v/>
      </c>
      <c r="H51" s="10" t="n"/>
      <c r="I51" s="10" t="n"/>
    </row>
    <row r="52">
      <c r="A52" s="7" t="inlineStr">
        <is>
          <t>B · 绿色</t>
        </is>
      </c>
      <c r="B52" s="8" t="inlineStr">
        <is>
          <t>B21</t>
        </is>
      </c>
      <c r="C52" s="57" t="n"/>
      <c r="D52" s="10" t="n"/>
      <c r="E52" s="10" t="inlineStr">
        <is>
          <t>估算</t>
        </is>
      </c>
      <c r="F52" s="10" t="n">
        <v>1000</v>
      </c>
      <c r="G52" s="11">
        <f>IF(OR($D52="",$F52=""),"",IF($F52&lt;=0,"",IF($D52/$F52*100&lt;=$F$3,"⚠️ 低库存","")))</f>
        <v/>
      </c>
      <c r="H52" s="10" t="n"/>
      <c r="I52" s="10" t="n"/>
    </row>
    <row r="53">
      <c r="A53" s="7" t="inlineStr">
        <is>
          <t>B · 绿色</t>
        </is>
      </c>
      <c r="B53" s="8" t="inlineStr">
        <is>
          <t>B22</t>
        </is>
      </c>
      <c r="C53" s="58" t="n"/>
      <c r="D53" s="10" t="n"/>
      <c r="E53" s="10" t="inlineStr">
        <is>
          <t>估算</t>
        </is>
      </c>
      <c r="F53" s="10" t="n">
        <v>1000</v>
      </c>
      <c r="G53" s="11">
        <f>IF(OR($D53="",$F53=""),"",IF($F53&lt;=0,"",IF($D53/$F53*100&lt;=$F$3,"⚠️ 低库存","")))</f>
        <v/>
      </c>
      <c r="H53" s="10" t="n"/>
      <c r="I53" s="10" t="n"/>
    </row>
    <row r="54">
      <c r="A54" s="7" t="inlineStr">
        <is>
          <t>B · 绿色</t>
        </is>
      </c>
      <c r="B54" s="8" t="inlineStr">
        <is>
          <t>B23</t>
        </is>
      </c>
      <c r="C54" s="59" t="n"/>
      <c r="D54" s="10" t="n"/>
      <c r="E54" s="10" t="inlineStr">
        <is>
          <t>估算</t>
        </is>
      </c>
      <c r="F54" s="10" t="n">
        <v>1000</v>
      </c>
      <c r="G54" s="11">
        <f>IF(OR($D54="",$F54=""),"",IF($F54&lt;=0,"",IF($D54/$F54*100&lt;=$F$3,"⚠️ 低库存","")))</f>
        <v/>
      </c>
      <c r="H54" s="10" t="n"/>
      <c r="I54" s="10" t="n"/>
    </row>
    <row r="55">
      <c r="A55" s="7" t="inlineStr">
        <is>
          <t>B · 绿色</t>
        </is>
      </c>
      <c r="B55" s="8" t="inlineStr">
        <is>
          <t>B24</t>
        </is>
      </c>
      <c r="C55" s="60" t="n"/>
      <c r="D55" s="10" t="n"/>
      <c r="E55" s="10" t="inlineStr">
        <is>
          <t>估算</t>
        </is>
      </c>
      <c r="F55" s="10" t="n">
        <v>1000</v>
      </c>
      <c r="G55" s="11">
        <f>IF(OR($D55="",$F55=""),"",IF($F55&lt;=0,"",IF($D55/$F55*100&lt;=$F$3,"⚠️ 低库存","")))</f>
        <v/>
      </c>
      <c r="H55" s="10" t="n"/>
      <c r="I55" s="10" t="n"/>
    </row>
    <row r="56">
      <c r="A56" s="7" t="inlineStr">
        <is>
          <t>B · 绿色</t>
        </is>
      </c>
      <c r="B56" s="8" t="inlineStr">
        <is>
          <t>B25</t>
        </is>
      </c>
      <c r="C56" s="61" t="n"/>
      <c r="D56" s="10" t="n"/>
      <c r="E56" s="10" t="inlineStr">
        <is>
          <t>估算</t>
        </is>
      </c>
      <c r="F56" s="10" t="n">
        <v>1000</v>
      </c>
      <c r="G56" s="11">
        <f>IF(OR($D56="",$F56=""),"",IF($F56&lt;=0,"",IF($D56/$F56*100&lt;=$F$3,"⚠️ 低库存","")))</f>
        <v/>
      </c>
      <c r="H56" s="10" t="n"/>
      <c r="I56" s="10" t="n"/>
    </row>
    <row r="57">
      <c r="A57" s="7" t="inlineStr">
        <is>
          <t>B · 绿色</t>
        </is>
      </c>
      <c r="B57" s="8" t="inlineStr">
        <is>
          <t>B26</t>
        </is>
      </c>
      <c r="C57" s="62" t="n"/>
      <c r="D57" s="10" t="n"/>
      <c r="E57" s="10" t="inlineStr">
        <is>
          <t>估算</t>
        </is>
      </c>
      <c r="F57" s="10" t="n">
        <v>1000</v>
      </c>
      <c r="G57" s="11">
        <f>IF(OR($D57="",$F57=""),"",IF($F57&lt;=0,"",IF($D57/$F57*100&lt;=$F$3,"⚠️ 低库存","")))</f>
        <v/>
      </c>
      <c r="H57" s="10" t="n"/>
      <c r="I57" s="10" t="n"/>
    </row>
    <row r="58">
      <c r="A58" s="7" t="inlineStr">
        <is>
          <t>B · 绿色</t>
        </is>
      </c>
      <c r="B58" s="8" t="inlineStr">
        <is>
          <t>B27</t>
        </is>
      </c>
      <c r="C58" s="63" t="n"/>
      <c r="D58" s="10" t="n"/>
      <c r="E58" s="10" t="inlineStr">
        <is>
          <t>估算</t>
        </is>
      </c>
      <c r="F58" s="10" t="n">
        <v>1000</v>
      </c>
      <c r="G58" s="11">
        <f>IF(OR($D58="",$F58=""),"",IF($F58&lt;=0,"",IF($D58/$F58*100&lt;=$F$3,"⚠️ 低库存","")))</f>
        <v/>
      </c>
      <c r="H58" s="10" t="n"/>
      <c r="I58" s="10" t="n"/>
    </row>
    <row r="59">
      <c r="A59" s="7" t="inlineStr">
        <is>
          <t>B · 绿色</t>
        </is>
      </c>
      <c r="B59" s="8" t="inlineStr">
        <is>
          <t>B28</t>
        </is>
      </c>
      <c r="C59" s="64" t="n"/>
      <c r="D59" s="10" t="n"/>
      <c r="E59" s="10" t="inlineStr">
        <is>
          <t>估算</t>
        </is>
      </c>
      <c r="F59" s="10" t="n">
        <v>1000</v>
      </c>
      <c r="G59" s="11">
        <f>IF(OR($D59="",$F59=""),"",IF($F59&lt;=0,"",IF($D59/$F59*100&lt;=$F$3,"⚠️ 低库存","")))</f>
        <v/>
      </c>
      <c r="H59" s="10" t="n"/>
      <c r="I59" s="10" t="n"/>
    </row>
    <row r="60">
      <c r="A60" s="7" t="inlineStr">
        <is>
          <t>B · 绿色</t>
        </is>
      </c>
      <c r="B60" s="8" t="inlineStr">
        <is>
          <t>B29</t>
        </is>
      </c>
      <c r="C60" s="65" t="n"/>
      <c r="D60" s="10" t="n"/>
      <c r="E60" s="10" t="inlineStr">
        <is>
          <t>估算</t>
        </is>
      </c>
      <c r="F60" s="10" t="n">
        <v>1000</v>
      </c>
      <c r="G60" s="11">
        <f>IF(OR($D60="",$F60=""),"",IF($F60&lt;=0,"",IF($D60/$F60*100&lt;=$F$3,"⚠️ 低库存","")))</f>
        <v/>
      </c>
      <c r="H60" s="10" t="n"/>
      <c r="I60" s="10" t="n"/>
    </row>
    <row r="61">
      <c r="A61" s="7" t="inlineStr">
        <is>
          <t>B · 绿色</t>
        </is>
      </c>
      <c r="B61" s="8" t="inlineStr">
        <is>
          <t>B30</t>
        </is>
      </c>
      <c r="C61" s="66" t="n"/>
      <c r="D61" s="10" t="n"/>
      <c r="E61" s="10" t="inlineStr">
        <is>
          <t>估算</t>
        </is>
      </c>
      <c r="F61" s="10" t="n">
        <v>1000</v>
      </c>
      <c r="G61" s="11">
        <f>IF(OR($D61="",$F61=""),"",IF($F61&lt;=0,"",IF($D61/$F61*100&lt;=$F$3,"⚠️ 低库存","")))</f>
        <v/>
      </c>
      <c r="H61" s="10" t="n"/>
      <c r="I61" s="10" t="n"/>
    </row>
    <row r="62">
      <c r="A62" s="7" t="inlineStr">
        <is>
          <t>B · 绿色</t>
        </is>
      </c>
      <c r="B62" s="8" t="inlineStr">
        <is>
          <t>B31</t>
        </is>
      </c>
      <c r="C62" s="67" t="n"/>
      <c r="D62" s="10" t="n"/>
      <c r="E62" s="10" t="inlineStr">
        <is>
          <t>估算</t>
        </is>
      </c>
      <c r="F62" s="10" t="n">
        <v>1000</v>
      </c>
      <c r="G62" s="11">
        <f>IF(OR($D62="",$F62=""),"",IF($F62&lt;=0,"",IF($D62/$F62*100&lt;=$F$3,"⚠️ 低库存","")))</f>
        <v/>
      </c>
      <c r="H62" s="10" t="n"/>
      <c r="I62" s="10" t="n"/>
    </row>
    <row r="63">
      <c r="A63" s="7" t="inlineStr">
        <is>
          <t>B · 绿色</t>
        </is>
      </c>
      <c r="B63" s="8" t="inlineStr">
        <is>
          <t>B32</t>
        </is>
      </c>
      <c r="C63" s="68" t="n"/>
      <c r="D63" s="10" t="n"/>
      <c r="E63" s="10" t="inlineStr">
        <is>
          <t>估算</t>
        </is>
      </c>
      <c r="F63" s="10" t="n">
        <v>1000</v>
      </c>
      <c r="G63" s="11">
        <f>IF(OR($D63="",$F63=""),"",IF($F63&lt;=0,"",IF($D63/$F63*100&lt;=$F$3,"⚠️ 低库存","")))</f>
        <v/>
      </c>
      <c r="H63" s="10" t="n"/>
      <c r="I63" s="10" t="n"/>
    </row>
    <row r="64">
      <c r="A64" s="7" t="inlineStr">
        <is>
          <t>C · 蓝青</t>
        </is>
      </c>
      <c r="B64" s="8" t="inlineStr">
        <is>
          <t>C1</t>
        </is>
      </c>
      <c r="C64" s="69" t="n"/>
      <c r="D64" s="10" t="n"/>
      <c r="E64" s="10" t="inlineStr">
        <is>
          <t>估算</t>
        </is>
      </c>
      <c r="F64" s="10" t="n">
        <v>1000</v>
      </c>
      <c r="G64" s="11">
        <f>IF(OR($D64="",$F64=""),"",IF($F64&lt;=0,"",IF($D64/$F64*100&lt;=$F$3,"⚠️ 低库存","")))</f>
        <v/>
      </c>
      <c r="H64" s="10" t="n"/>
      <c r="I64" s="10" t="n"/>
    </row>
    <row r="65">
      <c r="A65" s="7" t="inlineStr">
        <is>
          <t>C · 蓝青</t>
        </is>
      </c>
      <c r="B65" s="8" t="inlineStr">
        <is>
          <t>C2</t>
        </is>
      </c>
      <c r="C65" s="70" t="n"/>
      <c r="D65" s="10" t="n"/>
      <c r="E65" s="10" t="inlineStr">
        <is>
          <t>估算</t>
        </is>
      </c>
      <c r="F65" s="10" t="n">
        <v>1000</v>
      </c>
      <c r="G65" s="11">
        <f>IF(OR($D65="",$F65=""),"",IF($F65&lt;=0,"",IF($D65/$F65*100&lt;=$F$3,"⚠️ 低库存","")))</f>
        <v/>
      </c>
      <c r="H65" s="10" t="n"/>
      <c r="I65" s="10" t="n"/>
    </row>
    <row r="66">
      <c r="A66" s="7" t="inlineStr">
        <is>
          <t>C · 蓝青</t>
        </is>
      </c>
      <c r="B66" s="8" t="inlineStr">
        <is>
          <t>C3</t>
        </is>
      </c>
      <c r="C66" s="71" t="n"/>
      <c r="D66" s="10" t="n"/>
      <c r="E66" s="10" t="inlineStr">
        <is>
          <t>估算</t>
        </is>
      </c>
      <c r="F66" s="10" t="n">
        <v>1000</v>
      </c>
      <c r="G66" s="11">
        <f>IF(OR($D66="",$F66=""),"",IF($F66&lt;=0,"",IF($D66/$F66*100&lt;=$F$3,"⚠️ 低库存","")))</f>
        <v/>
      </c>
      <c r="H66" s="10" t="n"/>
      <c r="I66" s="10" t="n"/>
    </row>
    <row r="67">
      <c r="A67" s="7" t="inlineStr">
        <is>
          <t>C · 蓝青</t>
        </is>
      </c>
      <c r="B67" s="8" t="inlineStr">
        <is>
          <t>C4</t>
        </is>
      </c>
      <c r="C67" s="72" t="n"/>
      <c r="D67" s="10" t="n"/>
      <c r="E67" s="10" t="inlineStr">
        <is>
          <t>估算</t>
        </is>
      </c>
      <c r="F67" s="10" t="n">
        <v>1000</v>
      </c>
      <c r="G67" s="11">
        <f>IF(OR($D67="",$F67=""),"",IF($F67&lt;=0,"",IF($D67/$F67*100&lt;=$F$3,"⚠️ 低库存","")))</f>
        <v/>
      </c>
      <c r="H67" s="10" t="n"/>
      <c r="I67" s="10" t="n"/>
    </row>
    <row r="68">
      <c r="A68" s="7" t="inlineStr">
        <is>
          <t>C · 蓝青</t>
        </is>
      </c>
      <c r="B68" s="8" t="inlineStr">
        <is>
          <t>C5</t>
        </is>
      </c>
      <c r="C68" s="73" t="n"/>
      <c r="D68" s="10" t="n"/>
      <c r="E68" s="10" t="inlineStr">
        <is>
          <t>估算</t>
        </is>
      </c>
      <c r="F68" s="10" t="n">
        <v>1000</v>
      </c>
      <c r="G68" s="11">
        <f>IF(OR($D68="",$F68=""),"",IF($F68&lt;=0,"",IF($D68/$F68*100&lt;=$F$3,"⚠️ 低库存","")))</f>
        <v/>
      </c>
      <c r="H68" s="10" t="n"/>
      <c r="I68" s="10" t="n"/>
    </row>
    <row r="69">
      <c r="A69" s="7" t="inlineStr">
        <is>
          <t>C · 蓝青</t>
        </is>
      </c>
      <c r="B69" s="8" t="inlineStr">
        <is>
          <t>C6</t>
        </is>
      </c>
      <c r="C69" s="74" t="n"/>
      <c r="D69" s="10" t="n"/>
      <c r="E69" s="10" t="inlineStr">
        <is>
          <t>估算</t>
        </is>
      </c>
      <c r="F69" s="10" t="n">
        <v>1000</v>
      </c>
      <c r="G69" s="11">
        <f>IF(OR($D69="",$F69=""),"",IF($F69&lt;=0,"",IF($D69/$F69*100&lt;=$F$3,"⚠️ 低库存","")))</f>
        <v/>
      </c>
      <c r="H69" s="10" t="n"/>
      <c r="I69" s="10" t="n"/>
    </row>
    <row r="70">
      <c r="A70" s="7" t="inlineStr">
        <is>
          <t>C · 蓝青</t>
        </is>
      </c>
      <c r="B70" s="8" t="inlineStr">
        <is>
          <t>C7</t>
        </is>
      </c>
      <c r="C70" s="75" t="n"/>
      <c r="D70" s="10" t="n"/>
      <c r="E70" s="10" t="inlineStr">
        <is>
          <t>估算</t>
        </is>
      </c>
      <c r="F70" s="10" t="n">
        <v>1000</v>
      </c>
      <c r="G70" s="11">
        <f>IF(OR($D70="",$F70=""),"",IF($F70&lt;=0,"",IF($D70/$F70*100&lt;=$F$3,"⚠️ 低库存","")))</f>
        <v/>
      </c>
      <c r="H70" s="10" t="n"/>
      <c r="I70" s="10" t="n"/>
    </row>
    <row r="71">
      <c r="A71" s="7" t="inlineStr">
        <is>
          <t>C · 蓝青</t>
        </is>
      </c>
      <c r="B71" s="8" t="inlineStr">
        <is>
          <t>C8</t>
        </is>
      </c>
      <c r="C71" s="76" t="n"/>
      <c r="D71" s="10" t="n"/>
      <c r="E71" s="10" t="inlineStr">
        <is>
          <t>估算</t>
        </is>
      </c>
      <c r="F71" s="10" t="n">
        <v>1000</v>
      </c>
      <c r="G71" s="11">
        <f>IF(OR($D71="",$F71=""),"",IF($F71&lt;=0,"",IF($D71/$F71*100&lt;=$F$3,"⚠️ 低库存","")))</f>
        <v/>
      </c>
      <c r="H71" s="10" t="n"/>
      <c r="I71" s="10" t="n"/>
    </row>
    <row r="72">
      <c r="A72" s="7" t="inlineStr">
        <is>
          <t>C · 蓝青</t>
        </is>
      </c>
      <c r="B72" s="8" t="inlineStr">
        <is>
          <t>C9</t>
        </is>
      </c>
      <c r="C72" s="77" t="n"/>
      <c r="D72" s="10" t="n"/>
      <c r="E72" s="10" t="inlineStr">
        <is>
          <t>估算</t>
        </is>
      </c>
      <c r="F72" s="10" t="n">
        <v>1000</v>
      </c>
      <c r="G72" s="11">
        <f>IF(OR($D72="",$F72=""),"",IF($F72&lt;=0,"",IF($D72/$F72*100&lt;=$F$3,"⚠️ 低库存","")))</f>
        <v/>
      </c>
      <c r="H72" s="10" t="n"/>
      <c r="I72" s="10" t="n"/>
    </row>
    <row r="73">
      <c r="A73" s="7" t="inlineStr">
        <is>
          <t>C · 蓝青</t>
        </is>
      </c>
      <c r="B73" s="8" t="inlineStr">
        <is>
          <t>C10</t>
        </is>
      </c>
      <c r="C73" s="78" t="n"/>
      <c r="D73" s="10" t="n"/>
      <c r="E73" s="10" t="inlineStr">
        <is>
          <t>估算</t>
        </is>
      </c>
      <c r="F73" s="10" t="n">
        <v>1000</v>
      </c>
      <c r="G73" s="11">
        <f>IF(OR($D73="",$F73=""),"",IF($F73&lt;=0,"",IF($D73/$F73*100&lt;=$F$3,"⚠️ 低库存","")))</f>
        <v/>
      </c>
      <c r="H73" s="10" t="n"/>
      <c r="I73" s="10" t="n"/>
    </row>
    <row r="74">
      <c r="A74" s="7" t="inlineStr">
        <is>
          <t>C · 蓝青</t>
        </is>
      </c>
      <c r="B74" s="8" t="inlineStr">
        <is>
          <t>C11</t>
        </is>
      </c>
      <c r="C74" s="79" t="n"/>
      <c r="D74" s="10" t="n"/>
      <c r="E74" s="10" t="inlineStr">
        <is>
          <t>估算</t>
        </is>
      </c>
      <c r="F74" s="10" t="n">
        <v>1000</v>
      </c>
      <c r="G74" s="11">
        <f>IF(OR($D74="",$F74=""),"",IF($F74&lt;=0,"",IF($D74/$F74*100&lt;=$F$3,"⚠️ 低库存","")))</f>
        <v/>
      </c>
      <c r="H74" s="10" t="n"/>
      <c r="I74" s="10" t="n"/>
    </row>
    <row r="75">
      <c r="A75" s="7" t="inlineStr">
        <is>
          <t>C · 蓝青</t>
        </is>
      </c>
      <c r="B75" s="8" t="inlineStr">
        <is>
          <t>C12</t>
        </is>
      </c>
      <c r="C75" s="80" t="n"/>
      <c r="D75" s="10" t="n"/>
      <c r="E75" s="10" t="inlineStr">
        <is>
          <t>估算</t>
        </is>
      </c>
      <c r="F75" s="10" t="n">
        <v>1000</v>
      </c>
      <c r="G75" s="11">
        <f>IF(OR($D75="",$F75=""),"",IF($F75&lt;=0,"",IF($D75/$F75*100&lt;=$F$3,"⚠️ 低库存","")))</f>
        <v/>
      </c>
      <c r="H75" s="10" t="n"/>
      <c r="I75" s="10" t="n"/>
    </row>
    <row r="76">
      <c r="A76" s="7" t="inlineStr">
        <is>
          <t>C · 蓝青</t>
        </is>
      </c>
      <c r="B76" s="8" t="inlineStr">
        <is>
          <t>C13</t>
        </is>
      </c>
      <c r="C76" s="81" t="n"/>
      <c r="D76" s="10" t="n"/>
      <c r="E76" s="10" t="inlineStr">
        <is>
          <t>估算</t>
        </is>
      </c>
      <c r="F76" s="10" t="n">
        <v>1000</v>
      </c>
      <c r="G76" s="11">
        <f>IF(OR($D76="",$F76=""),"",IF($F76&lt;=0,"",IF($D76/$F76*100&lt;=$F$3,"⚠️ 低库存","")))</f>
        <v/>
      </c>
      <c r="H76" s="10" t="n"/>
      <c r="I76" s="10" t="n"/>
    </row>
    <row r="77">
      <c r="A77" s="7" t="inlineStr">
        <is>
          <t>C · 蓝青</t>
        </is>
      </c>
      <c r="B77" s="8" t="inlineStr">
        <is>
          <t>C14</t>
        </is>
      </c>
      <c r="C77" s="82" t="n"/>
      <c r="D77" s="10" t="n"/>
      <c r="E77" s="10" t="inlineStr">
        <is>
          <t>估算</t>
        </is>
      </c>
      <c r="F77" s="10" t="n">
        <v>1000</v>
      </c>
      <c r="G77" s="11">
        <f>IF(OR($D77="",$F77=""),"",IF($F77&lt;=0,"",IF($D77/$F77*100&lt;=$F$3,"⚠️ 低库存","")))</f>
        <v/>
      </c>
      <c r="H77" s="10" t="n"/>
      <c r="I77" s="10" t="n"/>
    </row>
    <row r="78">
      <c r="A78" s="7" t="inlineStr">
        <is>
          <t>C · 蓝青</t>
        </is>
      </c>
      <c r="B78" s="8" t="inlineStr">
        <is>
          <t>C15</t>
        </is>
      </c>
      <c r="C78" s="83" t="n"/>
      <c r="D78" s="10" t="n"/>
      <c r="E78" s="10" t="inlineStr">
        <is>
          <t>估算</t>
        </is>
      </c>
      <c r="F78" s="10" t="n">
        <v>1000</v>
      </c>
      <c r="G78" s="11">
        <f>IF(OR($D78="",$F78=""),"",IF($F78&lt;=0,"",IF($D78/$F78*100&lt;=$F$3,"⚠️ 低库存","")))</f>
        <v/>
      </c>
      <c r="H78" s="10" t="n"/>
      <c r="I78" s="10" t="n"/>
    </row>
    <row r="79">
      <c r="A79" s="7" t="inlineStr">
        <is>
          <t>C · 蓝青</t>
        </is>
      </c>
      <c r="B79" s="8" t="inlineStr">
        <is>
          <t>C16</t>
        </is>
      </c>
      <c r="C79" s="84" t="n"/>
      <c r="D79" s="10" t="n"/>
      <c r="E79" s="10" t="inlineStr">
        <is>
          <t>估算</t>
        </is>
      </c>
      <c r="F79" s="10" t="n">
        <v>1000</v>
      </c>
      <c r="G79" s="11">
        <f>IF(OR($D79="",$F79=""),"",IF($F79&lt;=0,"",IF($D79/$F79*100&lt;=$F$3,"⚠️ 低库存","")))</f>
        <v/>
      </c>
      <c r="H79" s="10" t="n"/>
      <c r="I79" s="10" t="n"/>
    </row>
    <row r="80">
      <c r="A80" s="7" t="inlineStr">
        <is>
          <t>C · 蓝青</t>
        </is>
      </c>
      <c r="B80" s="8" t="inlineStr">
        <is>
          <t>C17</t>
        </is>
      </c>
      <c r="C80" s="85" t="n"/>
      <c r="D80" s="10" t="n"/>
      <c r="E80" s="10" t="inlineStr">
        <is>
          <t>估算</t>
        </is>
      </c>
      <c r="F80" s="10" t="n">
        <v>1000</v>
      </c>
      <c r="G80" s="11">
        <f>IF(OR($D80="",$F80=""),"",IF($F80&lt;=0,"",IF($D80/$F80*100&lt;=$F$3,"⚠️ 低库存","")))</f>
        <v/>
      </c>
      <c r="H80" s="10" t="n"/>
      <c r="I80" s="10" t="n"/>
    </row>
    <row r="81">
      <c r="A81" s="7" t="inlineStr">
        <is>
          <t>C · 蓝青</t>
        </is>
      </c>
      <c r="B81" s="8" t="inlineStr">
        <is>
          <t>C18</t>
        </is>
      </c>
      <c r="C81" s="86" t="n"/>
      <c r="D81" s="10" t="n"/>
      <c r="E81" s="10" t="inlineStr">
        <is>
          <t>估算</t>
        </is>
      </c>
      <c r="F81" s="10" t="n">
        <v>1000</v>
      </c>
      <c r="G81" s="11">
        <f>IF(OR($D81="",$F81=""),"",IF($F81&lt;=0,"",IF($D81/$F81*100&lt;=$F$3,"⚠️ 低库存","")))</f>
        <v/>
      </c>
      <c r="H81" s="10" t="n"/>
      <c r="I81" s="10" t="n"/>
    </row>
    <row r="82">
      <c r="A82" s="7" t="inlineStr">
        <is>
          <t>C · 蓝青</t>
        </is>
      </c>
      <c r="B82" s="8" t="inlineStr">
        <is>
          <t>C19</t>
        </is>
      </c>
      <c r="C82" s="87" t="n"/>
      <c r="D82" s="10" t="n"/>
      <c r="E82" s="10" t="inlineStr">
        <is>
          <t>估算</t>
        </is>
      </c>
      <c r="F82" s="10" t="n">
        <v>1000</v>
      </c>
      <c r="G82" s="11">
        <f>IF(OR($D82="",$F82=""),"",IF($F82&lt;=0,"",IF($D82/$F82*100&lt;=$F$3,"⚠️ 低库存","")))</f>
        <v/>
      </c>
      <c r="H82" s="10" t="n"/>
      <c r="I82" s="10" t="n"/>
    </row>
    <row r="83">
      <c r="A83" s="7" t="inlineStr">
        <is>
          <t>C · 蓝青</t>
        </is>
      </c>
      <c r="B83" s="8" t="inlineStr">
        <is>
          <t>C20</t>
        </is>
      </c>
      <c r="C83" s="88" t="n"/>
      <c r="D83" s="10" t="n"/>
      <c r="E83" s="10" t="inlineStr">
        <is>
          <t>估算</t>
        </is>
      </c>
      <c r="F83" s="10" t="n">
        <v>1000</v>
      </c>
      <c r="G83" s="11">
        <f>IF(OR($D83="",$F83=""),"",IF($F83&lt;=0,"",IF($D83/$F83*100&lt;=$F$3,"⚠️ 低库存","")))</f>
        <v/>
      </c>
      <c r="H83" s="10" t="n"/>
      <c r="I83" s="10" t="n"/>
    </row>
    <row r="84">
      <c r="A84" s="7" t="inlineStr">
        <is>
          <t>C · 蓝青</t>
        </is>
      </c>
      <c r="B84" s="8" t="inlineStr">
        <is>
          <t>C21</t>
        </is>
      </c>
      <c r="C84" s="89" t="n"/>
      <c r="D84" s="10" t="n"/>
      <c r="E84" s="10" t="inlineStr">
        <is>
          <t>估算</t>
        </is>
      </c>
      <c r="F84" s="10" t="n">
        <v>1000</v>
      </c>
      <c r="G84" s="11">
        <f>IF(OR($D84="",$F84=""),"",IF($F84&lt;=0,"",IF($D84/$F84*100&lt;=$F$3,"⚠️ 低库存","")))</f>
        <v/>
      </c>
      <c r="H84" s="10" t="n"/>
      <c r="I84" s="10" t="n"/>
    </row>
    <row r="85">
      <c r="A85" s="7" t="inlineStr">
        <is>
          <t>C · 蓝青</t>
        </is>
      </c>
      <c r="B85" s="8" t="inlineStr">
        <is>
          <t>C22</t>
        </is>
      </c>
      <c r="C85" s="90" t="n"/>
      <c r="D85" s="10" t="n"/>
      <c r="E85" s="10" t="inlineStr">
        <is>
          <t>估算</t>
        </is>
      </c>
      <c r="F85" s="10" t="n">
        <v>1000</v>
      </c>
      <c r="G85" s="11">
        <f>IF(OR($D85="",$F85=""),"",IF($F85&lt;=0,"",IF($D85/$F85*100&lt;=$F$3,"⚠️ 低库存","")))</f>
        <v/>
      </c>
      <c r="H85" s="10" t="n"/>
      <c r="I85" s="10" t="n"/>
    </row>
    <row r="86">
      <c r="A86" s="7" t="inlineStr">
        <is>
          <t>C · 蓝青</t>
        </is>
      </c>
      <c r="B86" s="8" t="inlineStr">
        <is>
          <t>C23</t>
        </is>
      </c>
      <c r="C86" s="91" t="n"/>
      <c r="D86" s="10" t="n"/>
      <c r="E86" s="10" t="inlineStr">
        <is>
          <t>估算</t>
        </is>
      </c>
      <c r="F86" s="10" t="n">
        <v>1000</v>
      </c>
      <c r="G86" s="11">
        <f>IF(OR($D86="",$F86=""),"",IF($F86&lt;=0,"",IF($D86/$F86*100&lt;=$F$3,"⚠️ 低库存","")))</f>
        <v/>
      </c>
      <c r="H86" s="10" t="n"/>
      <c r="I86" s="10" t="n"/>
    </row>
    <row r="87">
      <c r="A87" s="7" t="inlineStr">
        <is>
          <t>C · 蓝青</t>
        </is>
      </c>
      <c r="B87" s="8" t="inlineStr">
        <is>
          <t>C24</t>
        </is>
      </c>
      <c r="C87" s="92" t="n"/>
      <c r="D87" s="10" t="n"/>
      <c r="E87" s="10" t="inlineStr">
        <is>
          <t>估算</t>
        </is>
      </c>
      <c r="F87" s="10" t="n">
        <v>1000</v>
      </c>
      <c r="G87" s="11">
        <f>IF(OR($D87="",$F87=""),"",IF($F87&lt;=0,"",IF($D87/$F87*100&lt;=$F$3,"⚠️ 低库存","")))</f>
        <v/>
      </c>
      <c r="H87" s="10" t="n"/>
      <c r="I87" s="10" t="n"/>
    </row>
    <row r="88">
      <c r="A88" s="7" t="inlineStr">
        <is>
          <t>C · 蓝青</t>
        </is>
      </c>
      <c r="B88" s="8" t="inlineStr">
        <is>
          <t>C25</t>
        </is>
      </c>
      <c r="C88" s="93" t="n"/>
      <c r="D88" s="10" t="n"/>
      <c r="E88" s="10" t="inlineStr">
        <is>
          <t>估算</t>
        </is>
      </c>
      <c r="F88" s="10" t="n">
        <v>1000</v>
      </c>
      <c r="G88" s="11">
        <f>IF(OR($D88="",$F88=""),"",IF($F88&lt;=0,"",IF($D88/$F88*100&lt;=$F$3,"⚠️ 低库存","")))</f>
        <v/>
      </c>
      <c r="H88" s="10" t="n"/>
      <c r="I88" s="10" t="n"/>
    </row>
    <row r="89">
      <c r="A89" s="7" t="inlineStr">
        <is>
          <t>C · 蓝青</t>
        </is>
      </c>
      <c r="B89" s="8" t="inlineStr">
        <is>
          <t>C26</t>
        </is>
      </c>
      <c r="C89" s="94" t="n"/>
      <c r="D89" s="10" t="n"/>
      <c r="E89" s="10" t="inlineStr">
        <is>
          <t>估算</t>
        </is>
      </c>
      <c r="F89" s="10" t="n">
        <v>1000</v>
      </c>
      <c r="G89" s="11">
        <f>IF(OR($D89="",$F89=""),"",IF($F89&lt;=0,"",IF($D89/$F89*100&lt;=$F$3,"⚠️ 低库存","")))</f>
        <v/>
      </c>
      <c r="H89" s="10" t="n"/>
      <c r="I89" s="10" t="n"/>
    </row>
    <row r="90">
      <c r="A90" s="7" t="inlineStr">
        <is>
          <t>C · 蓝青</t>
        </is>
      </c>
      <c r="B90" s="8" t="inlineStr">
        <is>
          <t>C27</t>
        </is>
      </c>
      <c r="C90" s="95" t="n"/>
      <c r="D90" s="10" t="n"/>
      <c r="E90" s="10" t="inlineStr">
        <is>
          <t>估算</t>
        </is>
      </c>
      <c r="F90" s="10" t="n">
        <v>1000</v>
      </c>
      <c r="G90" s="11">
        <f>IF(OR($D90="",$F90=""),"",IF($F90&lt;=0,"",IF($D90/$F90*100&lt;=$F$3,"⚠️ 低库存","")))</f>
        <v/>
      </c>
      <c r="H90" s="10" t="n"/>
      <c r="I90" s="10" t="n"/>
    </row>
    <row r="91">
      <c r="A91" s="7" t="inlineStr">
        <is>
          <t>C · 蓝青</t>
        </is>
      </c>
      <c r="B91" s="8" t="inlineStr">
        <is>
          <t>C28</t>
        </is>
      </c>
      <c r="C91" s="96" t="n"/>
      <c r="D91" s="10" t="n"/>
      <c r="E91" s="10" t="inlineStr">
        <is>
          <t>估算</t>
        </is>
      </c>
      <c r="F91" s="10" t="n">
        <v>1000</v>
      </c>
      <c r="G91" s="11">
        <f>IF(OR($D91="",$F91=""),"",IF($F91&lt;=0,"",IF($D91/$F91*100&lt;=$F$3,"⚠️ 低库存","")))</f>
        <v/>
      </c>
      <c r="H91" s="10" t="n"/>
      <c r="I91" s="10" t="n"/>
    </row>
    <row r="92">
      <c r="A92" s="7" t="inlineStr">
        <is>
          <t>C · 蓝青</t>
        </is>
      </c>
      <c r="B92" s="8" t="inlineStr">
        <is>
          <t>C29</t>
        </is>
      </c>
      <c r="C92" s="97" t="n"/>
      <c r="D92" s="10" t="n"/>
      <c r="E92" s="10" t="inlineStr">
        <is>
          <t>估算</t>
        </is>
      </c>
      <c r="F92" s="10" t="n">
        <v>1000</v>
      </c>
      <c r="G92" s="11">
        <f>IF(OR($D92="",$F92=""),"",IF($F92&lt;=0,"",IF($D92/$F92*100&lt;=$F$3,"⚠️ 低库存","")))</f>
        <v/>
      </c>
      <c r="H92" s="10" t="n"/>
      <c r="I92" s="10" t="n"/>
    </row>
    <row r="93">
      <c r="A93" s="7" t="inlineStr">
        <is>
          <t>D · 蓝紫</t>
        </is>
      </c>
      <c r="B93" s="8" t="inlineStr">
        <is>
          <t>D1</t>
        </is>
      </c>
      <c r="C93" s="98" t="n"/>
      <c r="D93" s="10" t="n"/>
      <c r="E93" s="10" t="inlineStr">
        <is>
          <t>估算</t>
        </is>
      </c>
      <c r="F93" s="10" t="n">
        <v>1000</v>
      </c>
      <c r="G93" s="11">
        <f>IF(OR($D93="",$F93=""),"",IF($F93&lt;=0,"",IF($D93/$F93*100&lt;=$F$3,"⚠️ 低库存","")))</f>
        <v/>
      </c>
      <c r="H93" s="10" t="n"/>
      <c r="I93" s="10" t="n"/>
    </row>
    <row r="94">
      <c r="A94" s="7" t="inlineStr">
        <is>
          <t>D · 蓝紫</t>
        </is>
      </c>
      <c r="B94" s="8" t="inlineStr">
        <is>
          <t>D2</t>
        </is>
      </c>
      <c r="C94" s="99" t="n"/>
      <c r="D94" s="10" t="n"/>
      <c r="E94" s="10" t="inlineStr">
        <is>
          <t>估算</t>
        </is>
      </c>
      <c r="F94" s="10" t="n">
        <v>1000</v>
      </c>
      <c r="G94" s="11">
        <f>IF(OR($D94="",$F94=""),"",IF($F94&lt;=0,"",IF($D94/$F94*100&lt;=$F$3,"⚠️ 低库存","")))</f>
        <v/>
      </c>
      <c r="H94" s="10" t="n"/>
      <c r="I94" s="10" t="n"/>
    </row>
    <row r="95">
      <c r="A95" s="7" t="inlineStr">
        <is>
          <t>D · 蓝紫</t>
        </is>
      </c>
      <c r="B95" s="8" t="inlineStr">
        <is>
          <t>D3</t>
        </is>
      </c>
      <c r="C95" s="100" t="n"/>
      <c r="D95" s="10" t="n"/>
      <c r="E95" s="10" t="inlineStr">
        <is>
          <t>估算</t>
        </is>
      </c>
      <c r="F95" s="10" t="n">
        <v>1000</v>
      </c>
      <c r="G95" s="11">
        <f>IF(OR($D95="",$F95=""),"",IF($F95&lt;=0,"",IF($D95/$F95*100&lt;=$F$3,"⚠️ 低库存","")))</f>
        <v/>
      </c>
      <c r="H95" s="10" t="n"/>
      <c r="I95" s="10" t="n"/>
    </row>
    <row r="96">
      <c r="A96" s="7" t="inlineStr">
        <is>
          <t>D · 蓝紫</t>
        </is>
      </c>
      <c r="B96" s="8" t="inlineStr">
        <is>
          <t>D4</t>
        </is>
      </c>
      <c r="C96" s="101" t="n"/>
      <c r="D96" s="10" t="n"/>
      <c r="E96" s="10" t="inlineStr">
        <is>
          <t>估算</t>
        </is>
      </c>
      <c r="F96" s="10" t="n">
        <v>1000</v>
      </c>
      <c r="G96" s="11">
        <f>IF(OR($D96="",$F96=""),"",IF($F96&lt;=0,"",IF($D96/$F96*100&lt;=$F$3,"⚠️ 低库存","")))</f>
        <v/>
      </c>
      <c r="H96" s="10" t="n"/>
      <c r="I96" s="10" t="n"/>
    </row>
    <row r="97">
      <c r="A97" s="7" t="inlineStr">
        <is>
          <t>D · 蓝紫</t>
        </is>
      </c>
      <c r="B97" s="8" t="inlineStr">
        <is>
          <t>D5</t>
        </is>
      </c>
      <c r="C97" s="102" t="n"/>
      <c r="D97" s="10" t="n"/>
      <c r="E97" s="10" t="inlineStr">
        <is>
          <t>估算</t>
        </is>
      </c>
      <c r="F97" s="10" t="n">
        <v>1000</v>
      </c>
      <c r="G97" s="11">
        <f>IF(OR($D97="",$F97=""),"",IF($F97&lt;=0,"",IF($D97/$F97*100&lt;=$F$3,"⚠️ 低库存","")))</f>
        <v/>
      </c>
      <c r="H97" s="10" t="n"/>
      <c r="I97" s="10" t="n"/>
    </row>
    <row r="98">
      <c r="A98" s="7" t="inlineStr">
        <is>
          <t>D · 蓝紫</t>
        </is>
      </c>
      <c r="B98" s="8" t="inlineStr">
        <is>
          <t>D6</t>
        </is>
      </c>
      <c r="C98" s="103" t="n"/>
      <c r="D98" s="10" t="n"/>
      <c r="E98" s="10" t="inlineStr">
        <is>
          <t>估算</t>
        </is>
      </c>
      <c r="F98" s="10" t="n">
        <v>1000</v>
      </c>
      <c r="G98" s="11">
        <f>IF(OR($D98="",$F98=""),"",IF($F98&lt;=0,"",IF($D98/$F98*100&lt;=$F$3,"⚠️ 低库存","")))</f>
        <v/>
      </c>
      <c r="H98" s="10" t="n"/>
      <c r="I98" s="10" t="n"/>
    </row>
    <row r="99">
      <c r="A99" s="7" t="inlineStr">
        <is>
          <t>D · 蓝紫</t>
        </is>
      </c>
      <c r="B99" s="8" t="inlineStr">
        <is>
          <t>D7</t>
        </is>
      </c>
      <c r="C99" s="104" t="n"/>
      <c r="D99" s="10" t="n"/>
      <c r="E99" s="10" t="inlineStr">
        <is>
          <t>估算</t>
        </is>
      </c>
      <c r="F99" s="10" t="n">
        <v>1000</v>
      </c>
      <c r="G99" s="11">
        <f>IF(OR($D99="",$F99=""),"",IF($F99&lt;=0,"",IF($D99/$F99*100&lt;=$F$3,"⚠️ 低库存","")))</f>
        <v/>
      </c>
      <c r="H99" s="10" t="n"/>
      <c r="I99" s="10" t="n"/>
    </row>
    <row r="100">
      <c r="A100" s="7" t="inlineStr">
        <is>
          <t>D · 蓝紫</t>
        </is>
      </c>
      <c r="B100" s="8" t="inlineStr">
        <is>
          <t>D8</t>
        </is>
      </c>
      <c r="C100" s="105" t="n"/>
      <c r="D100" s="10" t="n"/>
      <c r="E100" s="10" t="inlineStr">
        <is>
          <t>估算</t>
        </is>
      </c>
      <c r="F100" s="10" t="n">
        <v>1000</v>
      </c>
      <c r="G100" s="11">
        <f>IF(OR($D100="",$F100=""),"",IF($F100&lt;=0,"",IF($D100/$F100*100&lt;=$F$3,"⚠️ 低库存","")))</f>
        <v/>
      </c>
      <c r="H100" s="10" t="n"/>
      <c r="I100" s="10" t="n"/>
    </row>
    <row r="101">
      <c r="A101" s="7" t="inlineStr">
        <is>
          <t>D · 蓝紫</t>
        </is>
      </c>
      <c r="B101" s="8" t="inlineStr">
        <is>
          <t>D9</t>
        </is>
      </c>
      <c r="C101" s="106" t="n"/>
      <c r="D101" s="10" t="n"/>
      <c r="E101" s="10" t="inlineStr">
        <is>
          <t>估算</t>
        </is>
      </c>
      <c r="F101" s="10" t="n">
        <v>1000</v>
      </c>
      <c r="G101" s="11">
        <f>IF(OR($D101="",$F101=""),"",IF($F101&lt;=0,"",IF($D101/$F101*100&lt;=$F$3,"⚠️ 低库存","")))</f>
        <v/>
      </c>
      <c r="H101" s="10" t="n"/>
      <c r="I101" s="10" t="n"/>
    </row>
    <row r="102">
      <c r="A102" s="7" t="inlineStr">
        <is>
          <t>D · 蓝紫</t>
        </is>
      </c>
      <c r="B102" s="8" t="inlineStr">
        <is>
          <t>D10</t>
        </is>
      </c>
      <c r="C102" s="107" t="n"/>
      <c r="D102" s="10" t="n"/>
      <c r="E102" s="10" t="inlineStr">
        <is>
          <t>估算</t>
        </is>
      </c>
      <c r="F102" s="10" t="n">
        <v>1000</v>
      </c>
      <c r="G102" s="11">
        <f>IF(OR($D102="",$F102=""),"",IF($F102&lt;=0,"",IF($D102/$F102*100&lt;=$F$3,"⚠️ 低库存","")))</f>
        <v/>
      </c>
      <c r="H102" s="10" t="n"/>
      <c r="I102" s="10" t="n"/>
    </row>
    <row r="103">
      <c r="A103" s="7" t="inlineStr">
        <is>
          <t>D · 蓝紫</t>
        </is>
      </c>
      <c r="B103" s="8" t="inlineStr">
        <is>
          <t>D11</t>
        </is>
      </c>
      <c r="C103" s="108" t="n"/>
      <c r="D103" s="10" t="n"/>
      <c r="E103" s="10" t="inlineStr">
        <is>
          <t>估算</t>
        </is>
      </c>
      <c r="F103" s="10" t="n">
        <v>1000</v>
      </c>
      <c r="G103" s="11">
        <f>IF(OR($D103="",$F103=""),"",IF($F103&lt;=0,"",IF($D103/$F103*100&lt;=$F$3,"⚠️ 低库存","")))</f>
        <v/>
      </c>
      <c r="H103" s="10" t="n"/>
      <c r="I103" s="10" t="n"/>
    </row>
    <row r="104">
      <c r="A104" s="7" t="inlineStr">
        <is>
          <t>D · 蓝紫</t>
        </is>
      </c>
      <c r="B104" s="8" t="inlineStr">
        <is>
          <t>D12</t>
        </is>
      </c>
      <c r="C104" s="109" t="n"/>
      <c r="D104" s="10" t="n"/>
      <c r="E104" s="10" t="inlineStr">
        <is>
          <t>估算</t>
        </is>
      </c>
      <c r="F104" s="10" t="n">
        <v>1000</v>
      </c>
      <c r="G104" s="11">
        <f>IF(OR($D104="",$F104=""),"",IF($F104&lt;=0,"",IF($D104/$F104*100&lt;=$F$3,"⚠️ 低库存","")))</f>
        <v/>
      </c>
      <c r="H104" s="10" t="n"/>
      <c r="I104" s="10" t="n"/>
    </row>
    <row r="105">
      <c r="A105" s="7" t="inlineStr">
        <is>
          <t>D · 蓝紫</t>
        </is>
      </c>
      <c r="B105" s="8" t="inlineStr">
        <is>
          <t>D13</t>
        </is>
      </c>
      <c r="C105" s="110" t="n"/>
      <c r="D105" s="10" t="n"/>
      <c r="E105" s="10" t="inlineStr">
        <is>
          <t>估算</t>
        </is>
      </c>
      <c r="F105" s="10" t="n">
        <v>1000</v>
      </c>
      <c r="G105" s="11">
        <f>IF(OR($D105="",$F105=""),"",IF($F105&lt;=0,"",IF($D105/$F105*100&lt;=$F$3,"⚠️ 低库存","")))</f>
        <v/>
      </c>
      <c r="H105" s="10" t="n"/>
      <c r="I105" s="10" t="n"/>
    </row>
    <row r="106">
      <c r="A106" s="7" t="inlineStr">
        <is>
          <t>D · 蓝紫</t>
        </is>
      </c>
      <c r="B106" s="8" t="inlineStr">
        <is>
          <t>D14</t>
        </is>
      </c>
      <c r="C106" s="111" t="n"/>
      <c r="D106" s="10" t="n"/>
      <c r="E106" s="10" t="inlineStr">
        <is>
          <t>估算</t>
        </is>
      </c>
      <c r="F106" s="10" t="n">
        <v>1000</v>
      </c>
      <c r="G106" s="11">
        <f>IF(OR($D106="",$F106=""),"",IF($F106&lt;=0,"",IF($D106/$F106*100&lt;=$F$3,"⚠️ 低库存","")))</f>
        <v/>
      </c>
      <c r="H106" s="10" t="n"/>
      <c r="I106" s="10" t="n"/>
    </row>
    <row r="107">
      <c r="A107" s="7" t="inlineStr">
        <is>
          <t>D · 蓝紫</t>
        </is>
      </c>
      <c r="B107" s="8" t="inlineStr">
        <is>
          <t>D15</t>
        </is>
      </c>
      <c r="C107" s="112" t="n"/>
      <c r="D107" s="10" t="n"/>
      <c r="E107" s="10" t="inlineStr">
        <is>
          <t>估算</t>
        </is>
      </c>
      <c r="F107" s="10" t="n">
        <v>1000</v>
      </c>
      <c r="G107" s="11">
        <f>IF(OR($D107="",$F107=""),"",IF($F107&lt;=0,"",IF($D107/$F107*100&lt;=$F$3,"⚠️ 低库存","")))</f>
        <v/>
      </c>
      <c r="H107" s="10" t="n"/>
      <c r="I107" s="10" t="n"/>
    </row>
    <row r="108">
      <c r="A108" s="7" t="inlineStr">
        <is>
          <t>D · 蓝紫</t>
        </is>
      </c>
      <c r="B108" s="8" t="inlineStr">
        <is>
          <t>D16</t>
        </is>
      </c>
      <c r="C108" s="113" t="n"/>
      <c r="D108" s="10" t="n"/>
      <c r="E108" s="10" t="inlineStr">
        <is>
          <t>估算</t>
        </is>
      </c>
      <c r="F108" s="10" t="n">
        <v>1000</v>
      </c>
      <c r="G108" s="11">
        <f>IF(OR($D108="",$F108=""),"",IF($F108&lt;=0,"",IF($D108/$F108*100&lt;=$F$3,"⚠️ 低库存","")))</f>
        <v/>
      </c>
      <c r="H108" s="10" t="n"/>
      <c r="I108" s="10" t="n"/>
    </row>
    <row r="109">
      <c r="A109" s="7" t="inlineStr">
        <is>
          <t>D · 蓝紫</t>
        </is>
      </c>
      <c r="B109" s="8" t="inlineStr">
        <is>
          <t>D17</t>
        </is>
      </c>
      <c r="C109" s="114" t="n"/>
      <c r="D109" s="10" t="n"/>
      <c r="E109" s="10" t="inlineStr">
        <is>
          <t>估算</t>
        </is>
      </c>
      <c r="F109" s="10" t="n">
        <v>1000</v>
      </c>
      <c r="G109" s="11">
        <f>IF(OR($D109="",$F109=""),"",IF($F109&lt;=0,"",IF($D109/$F109*100&lt;=$F$3,"⚠️ 低库存","")))</f>
        <v/>
      </c>
      <c r="H109" s="10" t="n"/>
      <c r="I109" s="10" t="n"/>
    </row>
    <row r="110">
      <c r="A110" s="7" t="inlineStr">
        <is>
          <t>D · 蓝紫</t>
        </is>
      </c>
      <c r="B110" s="8" t="inlineStr">
        <is>
          <t>D18</t>
        </is>
      </c>
      <c r="C110" s="115" t="n"/>
      <c r="D110" s="10" t="n"/>
      <c r="E110" s="10" t="inlineStr">
        <is>
          <t>估算</t>
        </is>
      </c>
      <c r="F110" s="10" t="n">
        <v>1000</v>
      </c>
      <c r="G110" s="11">
        <f>IF(OR($D110="",$F110=""),"",IF($F110&lt;=0,"",IF($D110/$F110*100&lt;=$F$3,"⚠️ 低库存","")))</f>
        <v/>
      </c>
      <c r="H110" s="10" t="n"/>
      <c r="I110" s="10" t="n"/>
    </row>
    <row r="111">
      <c r="A111" s="7" t="inlineStr">
        <is>
          <t>D · 蓝紫</t>
        </is>
      </c>
      <c r="B111" s="8" t="inlineStr">
        <is>
          <t>D19</t>
        </is>
      </c>
      <c r="C111" s="116" t="n"/>
      <c r="D111" s="10" t="n"/>
      <c r="E111" s="10" t="inlineStr">
        <is>
          <t>估算</t>
        </is>
      </c>
      <c r="F111" s="10" t="n">
        <v>1000</v>
      </c>
      <c r="G111" s="11">
        <f>IF(OR($D111="",$F111=""),"",IF($F111&lt;=0,"",IF($D111/$F111*100&lt;=$F$3,"⚠️ 低库存","")))</f>
        <v/>
      </c>
      <c r="H111" s="10" t="n"/>
      <c r="I111" s="10" t="n"/>
    </row>
    <row r="112">
      <c r="A112" s="7" t="inlineStr">
        <is>
          <t>D · 蓝紫</t>
        </is>
      </c>
      <c r="B112" s="8" t="inlineStr">
        <is>
          <t>D20</t>
        </is>
      </c>
      <c r="C112" s="117" t="n"/>
      <c r="D112" s="10" t="n"/>
      <c r="E112" s="10" t="inlineStr">
        <is>
          <t>估算</t>
        </is>
      </c>
      <c r="F112" s="10" t="n">
        <v>1000</v>
      </c>
      <c r="G112" s="11">
        <f>IF(OR($D112="",$F112=""),"",IF($F112&lt;=0,"",IF($D112/$F112*100&lt;=$F$3,"⚠️ 低库存","")))</f>
        <v/>
      </c>
      <c r="H112" s="10" t="n"/>
      <c r="I112" s="10" t="n"/>
    </row>
    <row r="113">
      <c r="A113" s="7" t="inlineStr">
        <is>
          <t>D · 蓝紫</t>
        </is>
      </c>
      <c r="B113" s="8" t="inlineStr">
        <is>
          <t>D21</t>
        </is>
      </c>
      <c r="C113" s="118" t="n"/>
      <c r="D113" s="10" t="n"/>
      <c r="E113" s="10" t="inlineStr">
        <is>
          <t>估算</t>
        </is>
      </c>
      <c r="F113" s="10" t="n">
        <v>1000</v>
      </c>
      <c r="G113" s="11">
        <f>IF(OR($D113="",$F113=""),"",IF($F113&lt;=0,"",IF($D113/$F113*100&lt;=$F$3,"⚠️ 低库存","")))</f>
        <v/>
      </c>
      <c r="H113" s="10" t="n"/>
      <c r="I113" s="10" t="n"/>
    </row>
    <row r="114">
      <c r="A114" s="7" t="inlineStr">
        <is>
          <t>D · 蓝紫</t>
        </is>
      </c>
      <c r="B114" s="8" t="inlineStr">
        <is>
          <t>D22</t>
        </is>
      </c>
      <c r="C114" s="119" t="n"/>
      <c r="D114" s="10" t="n"/>
      <c r="E114" s="10" t="inlineStr">
        <is>
          <t>估算</t>
        </is>
      </c>
      <c r="F114" s="10" t="n">
        <v>1000</v>
      </c>
      <c r="G114" s="11">
        <f>IF(OR($D114="",$F114=""),"",IF($F114&lt;=0,"",IF($D114/$F114*100&lt;=$F$3,"⚠️ 低库存","")))</f>
        <v/>
      </c>
      <c r="H114" s="10" t="n"/>
      <c r="I114" s="10" t="n"/>
    </row>
    <row r="115">
      <c r="A115" s="7" t="inlineStr">
        <is>
          <t>D · 蓝紫</t>
        </is>
      </c>
      <c r="B115" s="8" t="inlineStr">
        <is>
          <t>D23</t>
        </is>
      </c>
      <c r="C115" s="120" t="n"/>
      <c r="D115" s="10" t="n"/>
      <c r="E115" s="10" t="inlineStr">
        <is>
          <t>估算</t>
        </is>
      </c>
      <c r="F115" s="10" t="n">
        <v>1000</v>
      </c>
      <c r="G115" s="11">
        <f>IF(OR($D115="",$F115=""),"",IF($F115&lt;=0,"",IF($D115/$F115*100&lt;=$F$3,"⚠️ 低库存","")))</f>
        <v/>
      </c>
      <c r="H115" s="10" t="n"/>
      <c r="I115" s="10" t="n"/>
    </row>
    <row r="116">
      <c r="A116" s="7" t="inlineStr">
        <is>
          <t>D · 蓝紫</t>
        </is>
      </c>
      <c r="B116" s="8" t="inlineStr">
        <is>
          <t>D24</t>
        </is>
      </c>
      <c r="C116" s="121" t="n"/>
      <c r="D116" s="10" t="n"/>
      <c r="E116" s="10" t="inlineStr">
        <is>
          <t>估算</t>
        </is>
      </c>
      <c r="F116" s="10" t="n">
        <v>1000</v>
      </c>
      <c r="G116" s="11">
        <f>IF(OR($D116="",$F116=""),"",IF($F116&lt;=0,"",IF($D116/$F116*100&lt;=$F$3,"⚠️ 低库存","")))</f>
        <v/>
      </c>
      <c r="H116" s="10" t="n"/>
      <c r="I116" s="10" t="n"/>
    </row>
    <row r="117">
      <c r="A117" s="7" t="inlineStr">
        <is>
          <t>D · 蓝紫</t>
        </is>
      </c>
      <c r="B117" s="8" t="inlineStr">
        <is>
          <t>D25</t>
        </is>
      </c>
      <c r="C117" s="122" t="n"/>
      <c r="D117" s="10" t="n"/>
      <c r="E117" s="10" t="inlineStr">
        <is>
          <t>估算</t>
        </is>
      </c>
      <c r="F117" s="10" t="n">
        <v>1000</v>
      </c>
      <c r="G117" s="11">
        <f>IF(OR($D117="",$F117=""),"",IF($F117&lt;=0,"",IF($D117/$F117*100&lt;=$F$3,"⚠️ 低库存","")))</f>
        <v/>
      </c>
      <c r="H117" s="10" t="n"/>
      <c r="I117" s="10" t="n"/>
    </row>
    <row r="118">
      <c r="A118" s="7" t="inlineStr">
        <is>
          <t>D · 蓝紫</t>
        </is>
      </c>
      <c r="B118" s="8" t="inlineStr">
        <is>
          <t>D26</t>
        </is>
      </c>
      <c r="C118" s="123" t="n"/>
      <c r="D118" s="10" t="n"/>
      <c r="E118" s="10" t="inlineStr">
        <is>
          <t>估算</t>
        </is>
      </c>
      <c r="F118" s="10" t="n">
        <v>1000</v>
      </c>
      <c r="G118" s="11">
        <f>IF(OR($D118="",$F118=""),"",IF($F118&lt;=0,"",IF($D118/$F118*100&lt;=$F$3,"⚠️ 低库存","")))</f>
        <v/>
      </c>
      <c r="H118" s="10" t="n"/>
      <c r="I118" s="10" t="n"/>
    </row>
    <row r="119">
      <c r="A119" s="7" t="inlineStr">
        <is>
          <t>E · 粉玫</t>
        </is>
      </c>
      <c r="B119" s="8" t="inlineStr">
        <is>
          <t>E1</t>
        </is>
      </c>
      <c r="C119" s="124" t="n"/>
      <c r="D119" s="10" t="n"/>
      <c r="E119" s="10" t="inlineStr">
        <is>
          <t>估算</t>
        </is>
      </c>
      <c r="F119" s="10" t="n">
        <v>1000</v>
      </c>
      <c r="G119" s="11">
        <f>IF(OR($D119="",$F119=""),"",IF($F119&lt;=0,"",IF($D119/$F119*100&lt;=$F$3,"⚠️ 低库存","")))</f>
        <v/>
      </c>
      <c r="H119" s="10" t="n"/>
      <c r="I119" s="10" t="n"/>
    </row>
    <row r="120">
      <c r="A120" s="7" t="inlineStr">
        <is>
          <t>E · 粉玫</t>
        </is>
      </c>
      <c r="B120" s="8" t="inlineStr">
        <is>
          <t>E2</t>
        </is>
      </c>
      <c r="C120" s="125" t="n"/>
      <c r="D120" s="10" t="n"/>
      <c r="E120" s="10" t="inlineStr">
        <is>
          <t>估算</t>
        </is>
      </c>
      <c r="F120" s="10" t="n">
        <v>1000</v>
      </c>
      <c r="G120" s="11">
        <f>IF(OR($D120="",$F120=""),"",IF($F120&lt;=0,"",IF($D120/$F120*100&lt;=$F$3,"⚠️ 低库存","")))</f>
        <v/>
      </c>
      <c r="H120" s="10" t="n"/>
      <c r="I120" s="10" t="n"/>
    </row>
    <row r="121">
      <c r="A121" s="7" t="inlineStr">
        <is>
          <t>E · 粉玫</t>
        </is>
      </c>
      <c r="B121" s="8" t="inlineStr">
        <is>
          <t>E3</t>
        </is>
      </c>
      <c r="C121" s="126" t="n"/>
      <c r="D121" s="10" t="n"/>
      <c r="E121" s="10" t="inlineStr">
        <is>
          <t>估算</t>
        </is>
      </c>
      <c r="F121" s="10" t="n">
        <v>1000</v>
      </c>
      <c r="G121" s="11">
        <f>IF(OR($D121="",$F121=""),"",IF($F121&lt;=0,"",IF($D121/$F121*100&lt;=$F$3,"⚠️ 低库存","")))</f>
        <v/>
      </c>
      <c r="H121" s="10" t="n"/>
      <c r="I121" s="10" t="n"/>
    </row>
    <row r="122">
      <c r="A122" s="7" t="inlineStr">
        <is>
          <t>E · 粉玫</t>
        </is>
      </c>
      <c r="B122" s="8" t="inlineStr">
        <is>
          <t>E4</t>
        </is>
      </c>
      <c r="C122" s="127" t="n"/>
      <c r="D122" s="10" t="n"/>
      <c r="E122" s="10" t="inlineStr">
        <is>
          <t>估算</t>
        </is>
      </c>
      <c r="F122" s="10" t="n">
        <v>1000</v>
      </c>
      <c r="G122" s="11">
        <f>IF(OR($D122="",$F122=""),"",IF($F122&lt;=0,"",IF($D122/$F122*100&lt;=$F$3,"⚠️ 低库存","")))</f>
        <v/>
      </c>
      <c r="H122" s="10" t="n"/>
      <c r="I122" s="10" t="n"/>
    </row>
    <row r="123">
      <c r="A123" s="7" t="inlineStr">
        <is>
          <t>E · 粉玫</t>
        </is>
      </c>
      <c r="B123" s="8" t="inlineStr">
        <is>
          <t>E5</t>
        </is>
      </c>
      <c r="C123" s="128" t="n"/>
      <c r="D123" s="10" t="n"/>
      <c r="E123" s="10" t="inlineStr">
        <is>
          <t>估算</t>
        </is>
      </c>
      <c r="F123" s="10" t="n">
        <v>1000</v>
      </c>
      <c r="G123" s="11">
        <f>IF(OR($D123="",$F123=""),"",IF($F123&lt;=0,"",IF($D123/$F123*100&lt;=$F$3,"⚠️ 低库存","")))</f>
        <v/>
      </c>
      <c r="H123" s="10" t="n"/>
      <c r="I123" s="10" t="n"/>
    </row>
    <row r="124">
      <c r="A124" s="7" t="inlineStr">
        <is>
          <t>E · 粉玫</t>
        </is>
      </c>
      <c r="B124" s="8" t="inlineStr">
        <is>
          <t>E6</t>
        </is>
      </c>
      <c r="C124" s="129" t="n"/>
      <c r="D124" s="10" t="n"/>
      <c r="E124" s="10" t="inlineStr">
        <is>
          <t>估算</t>
        </is>
      </c>
      <c r="F124" s="10" t="n">
        <v>1000</v>
      </c>
      <c r="G124" s="11">
        <f>IF(OR($D124="",$F124=""),"",IF($F124&lt;=0,"",IF($D124/$F124*100&lt;=$F$3,"⚠️ 低库存","")))</f>
        <v/>
      </c>
      <c r="H124" s="10" t="n"/>
      <c r="I124" s="10" t="n"/>
    </row>
    <row r="125">
      <c r="A125" s="7" t="inlineStr">
        <is>
          <t>E · 粉玫</t>
        </is>
      </c>
      <c r="B125" s="8" t="inlineStr">
        <is>
          <t>E7</t>
        </is>
      </c>
      <c r="C125" s="130" t="n"/>
      <c r="D125" s="10" t="n"/>
      <c r="E125" s="10" t="inlineStr">
        <is>
          <t>估算</t>
        </is>
      </c>
      <c r="F125" s="10" t="n">
        <v>1000</v>
      </c>
      <c r="G125" s="11">
        <f>IF(OR($D125="",$F125=""),"",IF($F125&lt;=0,"",IF($D125/$F125*100&lt;=$F$3,"⚠️ 低库存","")))</f>
        <v/>
      </c>
      <c r="H125" s="10" t="n"/>
      <c r="I125" s="10" t="n"/>
    </row>
    <row r="126">
      <c r="A126" s="7" t="inlineStr">
        <is>
          <t>E · 粉玫</t>
        </is>
      </c>
      <c r="B126" s="8" t="inlineStr">
        <is>
          <t>E8</t>
        </is>
      </c>
      <c r="C126" s="131" t="n"/>
      <c r="D126" s="10" t="n"/>
      <c r="E126" s="10" t="inlineStr">
        <is>
          <t>估算</t>
        </is>
      </c>
      <c r="F126" s="10" t="n">
        <v>1000</v>
      </c>
      <c r="G126" s="11">
        <f>IF(OR($D126="",$F126=""),"",IF($F126&lt;=0,"",IF($D126/$F126*100&lt;=$F$3,"⚠️ 低库存","")))</f>
        <v/>
      </c>
      <c r="H126" s="10" t="n"/>
      <c r="I126" s="10" t="n"/>
    </row>
    <row r="127">
      <c r="A127" s="7" t="inlineStr">
        <is>
          <t>E · 粉玫</t>
        </is>
      </c>
      <c r="B127" s="8" t="inlineStr">
        <is>
          <t>E9</t>
        </is>
      </c>
      <c r="C127" s="132" t="n"/>
      <c r="D127" s="10" t="n"/>
      <c r="E127" s="10" t="inlineStr">
        <is>
          <t>估算</t>
        </is>
      </c>
      <c r="F127" s="10" t="n">
        <v>1000</v>
      </c>
      <c r="G127" s="11">
        <f>IF(OR($D127="",$F127=""),"",IF($F127&lt;=0,"",IF($D127/$F127*100&lt;=$F$3,"⚠️ 低库存","")))</f>
        <v/>
      </c>
      <c r="H127" s="10" t="n"/>
      <c r="I127" s="10" t="n"/>
    </row>
    <row r="128">
      <c r="A128" s="7" t="inlineStr">
        <is>
          <t>E · 粉玫</t>
        </is>
      </c>
      <c r="B128" s="8" t="inlineStr">
        <is>
          <t>E10</t>
        </is>
      </c>
      <c r="C128" s="133" t="n"/>
      <c r="D128" s="10" t="n"/>
      <c r="E128" s="10" t="inlineStr">
        <is>
          <t>估算</t>
        </is>
      </c>
      <c r="F128" s="10" t="n">
        <v>1000</v>
      </c>
      <c r="G128" s="11">
        <f>IF(OR($D128="",$F128=""),"",IF($F128&lt;=0,"",IF($D128/$F128*100&lt;=$F$3,"⚠️ 低库存","")))</f>
        <v/>
      </c>
      <c r="H128" s="10" t="n"/>
      <c r="I128" s="10" t="n"/>
    </row>
    <row r="129">
      <c r="A129" s="7" t="inlineStr">
        <is>
          <t>E · 粉玫</t>
        </is>
      </c>
      <c r="B129" s="8" t="inlineStr">
        <is>
          <t>E11</t>
        </is>
      </c>
      <c r="C129" s="134" t="n"/>
      <c r="D129" s="10" t="n"/>
      <c r="E129" s="10" t="inlineStr">
        <is>
          <t>估算</t>
        </is>
      </c>
      <c r="F129" s="10" t="n">
        <v>1000</v>
      </c>
      <c r="G129" s="11">
        <f>IF(OR($D129="",$F129=""),"",IF($F129&lt;=0,"",IF($D129/$F129*100&lt;=$F$3,"⚠️ 低库存","")))</f>
        <v/>
      </c>
      <c r="H129" s="10" t="n"/>
      <c r="I129" s="10" t="n"/>
    </row>
    <row r="130">
      <c r="A130" s="7" t="inlineStr">
        <is>
          <t>E · 粉玫</t>
        </is>
      </c>
      <c r="B130" s="8" t="inlineStr">
        <is>
          <t>E12</t>
        </is>
      </c>
      <c r="C130" s="135" t="n"/>
      <c r="D130" s="10" t="n"/>
      <c r="E130" s="10" t="inlineStr">
        <is>
          <t>估算</t>
        </is>
      </c>
      <c r="F130" s="10" t="n">
        <v>1000</v>
      </c>
      <c r="G130" s="11">
        <f>IF(OR($D130="",$F130=""),"",IF($F130&lt;=0,"",IF($D130/$F130*100&lt;=$F$3,"⚠️ 低库存","")))</f>
        <v/>
      </c>
      <c r="H130" s="10" t="n"/>
      <c r="I130" s="10" t="n"/>
    </row>
    <row r="131">
      <c r="A131" s="7" t="inlineStr">
        <is>
          <t>E · 粉玫</t>
        </is>
      </c>
      <c r="B131" s="8" t="inlineStr">
        <is>
          <t>E13</t>
        </is>
      </c>
      <c r="C131" s="136" t="n"/>
      <c r="D131" s="10" t="n"/>
      <c r="E131" s="10" t="inlineStr">
        <is>
          <t>估算</t>
        </is>
      </c>
      <c r="F131" s="10" t="n">
        <v>1000</v>
      </c>
      <c r="G131" s="11">
        <f>IF(OR($D131="",$F131=""),"",IF($F131&lt;=0,"",IF($D131/$F131*100&lt;=$F$3,"⚠️ 低库存","")))</f>
        <v/>
      </c>
      <c r="H131" s="10" t="n"/>
      <c r="I131" s="10" t="n"/>
    </row>
    <row r="132">
      <c r="A132" s="7" t="inlineStr">
        <is>
          <t>E · 粉玫</t>
        </is>
      </c>
      <c r="B132" s="8" t="inlineStr">
        <is>
          <t>E14</t>
        </is>
      </c>
      <c r="C132" s="137" t="n"/>
      <c r="D132" s="10" t="n"/>
      <c r="E132" s="10" t="inlineStr">
        <is>
          <t>估算</t>
        </is>
      </c>
      <c r="F132" s="10" t="n">
        <v>1000</v>
      </c>
      <c r="G132" s="11">
        <f>IF(OR($D132="",$F132=""),"",IF($F132&lt;=0,"",IF($D132/$F132*100&lt;=$F$3,"⚠️ 低库存","")))</f>
        <v/>
      </c>
      <c r="H132" s="10" t="n"/>
      <c r="I132" s="10" t="n"/>
    </row>
    <row r="133">
      <c r="A133" s="7" t="inlineStr">
        <is>
          <t>E · 粉玫</t>
        </is>
      </c>
      <c r="B133" s="8" t="inlineStr">
        <is>
          <t>E15</t>
        </is>
      </c>
      <c r="C133" s="138" t="n"/>
      <c r="D133" s="10" t="n"/>
      <c r="E133" s="10" t="inlineStr">
        <is>
          <t>估算</t>
        </is>
      </c>
      <c r="F133" s="10" t="n">
        <v>1000</v>
      </c>
      <c r="G133" s="11">
        <f>IF(OR($D133="",$F133=""),"",IF($F133&lt;=0,"",IF($D133/$F133*100&lt;=$F$3,"⚠️ 低库存","")))</f>
        <v/>
      </c>
      <c r="H133" s="10" t="n"/>
      <c r="I133" s="10" t="n"/>
    </row>
    <row r="134">
      <c r="A134" s="7" t="inlineStr">
        <is>
          <t>E · 粉玫</t>
        </is>
      </c>
      <c r="B134" s="8" t="inlineStr">
        <is>
          <t>E16</t>
        </is>
      </c>
      <c r="C134" s="139" t="n"/>
      <c r="D134" s="10" t="n"/>
      <c r="E134" s="10" t="inlineStr">
        <is>
          <t>估算</t>
        </is>
      </c>
      <c r="F134" s="10" t="n">
        <v>1000</v>
      </c>
      <c r="G134" s="11">
        <f>IF(OR($D134="",$F134=""),"",IF($F134&lt;=0,"",IF($D134/$F134*100&lt;=$F$3,"⚠️ 低库存","")))</f>
        <v/>
      </c>
      <c r="H134" s="10" t="n"/>
      <c r="I134" s="10" t="n"/>
    </row>
    <row r="135">
      <c r="A135" s="7" t="inlineStr">
        <is>
          <t>E · 粉玫</t>
        </is>
      </c>
      <c r="B135" s="8" t="inlineStr">
        <is>
          <t>E17</t>
        </is>
      </c>
      <c r="C135" s="140" t="n"/>
      <c r="D135" s="10" t="n"/>
      <c r="E135" s="10" t="inlineStr">
        <is>
          <t>估算</t>
        </is>
      </c>
      <c r="F135" s="10" t="n">
        <v>1000</v>
      </c>
      <c r="G135" s="11">
        <f>IF(OR($D135="",$F135=""),"",IF($F135&lt;=0,"",IF($D135/$F135*100&lt;=$F$3,"⚠️ 低库存","")))</f>
        <v/>
      </c>
      <c r="H135" s="10" t="n"/>
      <c r="I135" s="10" t="n"/>
    </row>
    <row r="136">
      <c r="A136" s="7" t="inlineStr">
        <is>
          <t>E · 粉玫</t>
        </is>
      </c>
      <c r="B136" s="8" t="inlineStr">
        <is>
          <t>E18</t>
        </is>
      </c>
      <c r="C136" s="141" t="n"/>
      <c r="D136" s="10" t="n"/>
      <c r="E136" s="10" t="inlineStr">
        <is>
          <t>估算</t>
        </is>
      </c>
      <c r="F136" s="10" t="n">
        <v>1000</v>
      </c>
      <c r="G136" s="11">
        <f>IF(OR($D136="",$F136=""),"",IF($F136&lt;=0,"",IF($D136/$F136*100&lt;=$F$3,"⚠️ 低库存","")))</f>
        <v/>
      </c>
      <c r="H136" s="10" t="n"/>
      <c r="I136" s="10" t="n"/>
    </row>
    <row r="137">
      <c r="A137" s="7" t="inlineStr">
        <is>
          <t>E · 粉玫</t>
        </is>
      </c>
      <c r="B137" s="8" t="inlineStr">
        <is>
          <t>E19</t>
        </is>
      </c>
      <c r="C137" s="142" t="n"/>
      <c r="D137" s="10" t="n"/>
      <c r="E137" s="10" t="inlineStr">
        <is>
          <t>估算</t>
        </is>
      </c>
      <c r="F137" s="10" t="n">
        <v>1000</v>
      </c>
      <c r="G137" s="11">
        <f>IF(OR($D137="",$F137=""),"",IF($F137&lt;=0,"",IF($D137/$F137*100&lt;=$F$3,"⚠️ 低库存","")))</f>
        <v/>
      </c>
      <c r="H137" s="10" t="n"/>
      <c r="I137" s="10" t="n"/>
    </row>
    <row r="138">
      <c r="A138" s="7" t="inlineStr">
        <is>
          <t>E · 粉玫</t>
        </is>
      </c>
      <c r="B138" s="8" t="inlineStr">
        <is>
          <t>E20</t>
        </is>
      </c>
      <c r="C138" s="143" t="n"/>
      <c r="D138" s="10" t="n"/>
      <c r="E138" s="10" t="inlineStr">
        <is>
          <t>估算</t>
        </is>
      </c>
      <c r="F138" s="10" t="n">
        <v>1000</v>
      </c>
      <c r="G138" s="11">
        <f>IF(OR($D138="",$F138=""),"",IF($F138&lt;=0,"",IF($D138/$F138*100&lt;=$F$3,"⚠️ 低库存","")))</f>
        <v/>
      </c>
      <c r="H138" s="10" t="n"/>
      <c r="I138" s="10" t="n"/>
    </row>
    <row r="139">
      <c r="A139" s="7" t="inlineStr">
        <is>
          <t>E · 粉玫</t>
        </is>
      </c>
      <c r="B139" s="8" t="inlineStr">
        <is>
          <t>E21</t>
        </is>
      </c>
      <c r="C139" s="144" t="n"/>
      <c r="D139" s="10" t="n"/>
      <c r="E139" s="10" t="inlineStr">
        <is>
          <t>估算</t>
        </is>
      </c>
      <c r="F139" s="10" t="n">
        <v>1000</v>
      </c>
      <c r="G139" s="11">
        <f>IF(OR($D139="",$F139=""),"",IF($F139&lt;=0,"",IF($D139/$F139*100&lt;=$F$3,"⚠️ 低库存","")))</f>
        <v/>
      </c>
      <c r="H139" s="10" t="n"/>
      <c r="I139" s="10" t="n"/>
    </row>
    <row r="140">
      <c r="A140" s="7" t="inlineStr">
        <is>
          <t>E · 粉玫</t>
        </is>
      </c>
      <c r="B140" s="8" t="inlineStr">
        <is>
          <t>E22</t>
        </is>
      </c>
      <c r="C140" s="145" t="n"/>
      <c r="D140" s="10" t="n"/>
      <c r="E140" s="10" t="inlineStr">
        <is>
          <t>估算</t>
        </is>
      </c>
      <c r="F140" s="10" t="n">
        <v>1000</v>
      </c>
      <c r="G140" s="11">
        <f>IF(OR($D140="",$F140=""),"",IF($F140&lt;=0,"",IF($D140/$F140*100&lt;=$F$3,"⚠️ 低库存","")))</f>
        <v/>
      </c>
      <c r="H140" s="10" t="n"/>
      <c r="I140" s="10" t="n"/>
    </row>
    <row r="141">
      <c r="A141" s="7" t="inlineStr">
        <is>
          <t>E · 粉玫</t>
        </is>
      </c>
      <c r="B141" s="8" t="inlineStr">
        <is>
          <t>E23</t>
        </is>
      </c>
      <c r="C141" s="146" t="n"/>
      <c r="D141" s="10" t="n"/>
      <c r="E141" s="10" t="inlineStr">
        <is>
          <t>估算</t>
        </is>
      </c>
      <c r="F141" s="10" t="n">
        <v>1000</v>
      </c>
      <c r="G141" s="11">
        <f>IF(OR($D141="",$F141=""),"",IF($F141&lt;=0,"",IF($D141/$F141*100&lt;=$F$3,"⚠️ 低库存","")))</f>
        <v/>
      </c>
      <c r="H141" s="10" t="n"/>
      <c r="I141" s="10" t="n"/>
    </row>
    <row r="142">
      <c r="A142" s="7" t="inlineStr">
        <is>
          <t>E · 粉玫</t>
        </is>
      </c>
      <c r="B142" s="8" t="inlineStr">
        <is>
          <t>E24</t>
        </is>
      </c>
      <c r="C142" s="147" t="n"/>
      <c r="D142" s="10" t="n"/>
      <c r="E142" s="10" t="inlineStr">
        <is>
          <t>估算</t>
        </is>
      </c>
      <c r="F142" s="10" t="n">
        <v>1000</v>
      </c>
      <c r="G142" s="11">
        <f>IF(OR($D142="",$F142=""),"",IF($F142&lt;=0,"",IF($D142/$F142*100&lt;=$F$3,"⚠️ 低库存","")))</f>
        <v/>
      </c>
      <c r="H142" s="10" t="n"/>
      <c r="I142" s="10" t="n"/>
    </row>
    <row r="143">
      <c r="A143" s="7" t="inlineStr">
        <is>
          <t>F · 红色</t>
        </is>
      </c>
      <c r="B143" s="8" t="inlineStr">
        <is>
          <t>F1</t>
        </is>
      </c>
      <c r="C143" s="148" t="n"/>
      <c r="D143" s="10" t="n"/>
      <c r="E143" s="10" t="inlineStr">
        <is>
          <t>估算</t>
        </is>
      </c>
      <c r="F143" s="10" t="n">
        <v>1000</v>
      </c>
      <c r="G143" s="11">
        <f>IF(OR($D143="",$F143=""),"",IF($F143&lt;=0,"",IF($D143/$F143*100&lt;=$F$3,"⚠️ 低库存","")))</f>
        <v/>
      </c>
      <c r="H143" s="10" t="n"/>
      <c r="I143" s="10" t="n"/>
    </row>
    <row r="144">
      <c r="A144" s="7" t="inlineStr">
        <is>
          <t>F · 红色</t>
        </is>
      </c>
      <c r="B144" s="8" t="inlineStr">
        <is>
          <t>F2</t>
        </is>
      </c>
      <c r="C144" s="149" t="n"/>
      <c r="D144" s="10" t="n"/>
      <c r="E144" s="10" t="inlineStr">
        <is>
          <t>估算</t>
        </is>
      </c>
      <c r="F144" s="10" t="n">
        <v>1000</v>
      </c>
      <c r="G144" s="11">
        <f>IF(OR($D144="",$F144=""),"",IF($F144&lt;=0,"",IF($D144/$F144*100&lt;=$F$3,"⚠️ 低库存","")))</f>
        <v/>
      </c>
      <c r="H144" s="10" t="n"/>
      <c r="I144" s="10" t="n"/>
    </row>
    <row r="145">
      <c r="A145" s="7" t="inlineStr">
        <is>
          <t>F · 红色</t>
        </is>
      </c>
      <c r="B145" s="8" t="inlineStr">
        <is>
          <t>F3</t>
        </is>
      </c>
      <c r="C145" s="150" t="n"/>
      <c r="D145" s="10" t="n"/>
      <c r="E145" s="10" t="inlineStr">
        <is>
          <t>估算</t>
        </is>
      </c>
      <c r="F145" s="10" t="n">
        <v>1000</v>
      </c>
      <c r="G145" s="11">
        <f>IF(OR($D145="",$F145=""),"",IF($F145&lt;=0,"",IF($D145/$F145*100&lt;=$F$3,"⚠️ 低库存","")))</f>
        <v/>
      </c>
      <c r="H145" s="10" t="n"/>
      <c r="I145" s="10" t="n"/>
    </row>
    <row r="146">
      <c r="A146" s="7" t="inlineStr">
        <is>
          <t>F · 红色</t>
        </is>
      </c>
      <c r="B146" s="8" t="inlineStr">
        <is>
          <t>F4</t>
        </is>
      </c>
      <c r="C146" s="151" t="n"/>
      <c r="D146" s="10" t="n"/>
      <c r="E146" s="10" t="inlineStr">
        <is>
          <t>估算</t>
        </is>
      </c>
      <c r="F146" s="10" t="n">
        <v>1000</v>
      </c>
      <c r="G146" s="11">
        <f>IF(OR($D146="",$F146=""),"",IF($F146&lt;=0,"",IF($D146/$F146*100&lt;=$F$3,"⚠️ 低库存","")))</f>
        <v/>
      </c>
      <c r="H146" s="10" t="n"/>
      <c r="I146" s="10" t="n"/>
    </row>
    <row r="147">
      <c r="A147" s="7" t="inlineStr">
        <is>
          <t>F · 红色</t>
        </is>
      </c>
      <c r="B147" s="8" t="inlineStr">
        <is>
          <t>F5</t>
        </is>
      </c>
      <c r="C147" s="152" t="n"/>
      <c r="D147" s="10" t="n"/>
      <c r="E147" s="10" t="inlineStr">
        <is>
          <t>估算</t>
        </is>
      </c>
      <c r="F147" s="10" t="n">
        <v>1000</v>
      </c>
      <c r="G147" s="11">
        <f>IF(OR($D147="",$F147=""),"",IF($F147&lt;=0,"",IF($D147/$F147*100&lt;=$F$3,"⚠️ 低库存","")))</f>
        <v/>
      </c>
      <c r="H147" s="10" t="n"/>
      <c r="I147" s="10" t="n"/>
    </row>
    <row r="148">
      <c r="A148" s="7" t="inlineStr">
        <is>
          <t>F · 红色</t>
        </is>
      </c>
      <c r="B148" s="8" t="inlineStr">
        <is>
          <t>F6</t>
        </is>
      </c>
      <c r="C148" s="153" t="n"/>
      <c r="D148" s="10" t="n"/>
      <c r="E148" s="10" t="inlineStr">
        <is>
          <t>估算</t>
        </is>
      </c>
      <c r="F148" s="10" t="n">
        <v>1000</v>
      </c>
      <c r="G148" s="11">
        <f>IF(OR($D148="",$F148=""),"",IF($F148&lt;=0,"",IF($D148/$F148*100&lt;=$F$3,"⚠️ 低库存","")))</f>
        <v/>
      </c>
      <c r="H148" s="10" t="n"/>
      <c r="I148" s="10" t="n"/>
    </row>
    <row r="149">
      <c r="A149" s="7" t="inlineStr">
        <is>
          <t>F · 红色</t>
        </is>
      </c>
      <c r="B149" s="8" t="inlineStr">
        <is>
          <t>F7</t>
        </is>
      </c>
      <c r="C149" s="154" t="n"/>
      <c r="D149" s="10" t="n"/>
      <c r="E149" s="10" t="inlineStr">
        <is>
          <t>估算</t>
        </is>
      </c>
      <c r="F149" s="10" t="n">
        <v>1000</v>
      </c>
      <c r="G149" s="11">
        <f>IF(OR($D149="",$F149=""),"",IF($F149&lt;=0,"",IF($D149/$F149*100&lt;=$F$3,"⚠️ 低库存","")))</f>
        <v/>
      </c>
      <c r="H149" s="10" t="n"/>
      <c r="I149" s="10" t="n"/>
    </row>
    <row r="150">
      <c r="A150" s="7" t="inlineStr">
        <is>
          <t>F · 红色</t>
        </is>
      </c>
      <c r="B150" s="8" t="inlineStr">
        <is>
          <t>F8</t>
        </is>
      </c>
      <c r="C150" s="155" t="n"/>
      <c r="D150" s="10" t="n"/>
      <c r="E150" s="10" t="inlineStr">
        <is>
          <t>估算</t>
        </is>
      </c>
      <c r="F150" s="10" t="n">
        <v>1000</v>
      </c>
      <c r="G150" s="11">
        <f>IF(OR($D150="",$F150=""),"",IF($F150&lt;=0,"",IF($D150/$F150*100&lt;=$F$3,"⚠️ 低库存","")))</f>
        <v/>
      </c>
      <c r="H150" s="10" t="n"/>
      <c r="I150" s="10" t="n"/>
    </row>
    <row r="151">
      <c r="A151" s="7" t="inlineStr">
        <is>
          <t>F · 红色</t>
        </is>
      </c>
      <c r="B151" s="8" t="inlineStr">
        <is>
          <t>F9</t>
        </is>
      </c>
      <c r="C151" s="156" t="n"/>
      <c r="D151" s="10" t="n"/>
      <c r="E151" s="10" t="inlineStr">
        <is>
          <t>估算</t>
        </is>
      </c>
      <c r="F151" s="10" t="n">
        <v>1000</v>
      </c>
      <c r="G151" s="11">
        <f>IF(OR($D151="",$F151=""),"",IF($F151&lt;=0,"",IF($D151/$F151*100&lt;=$F$3,"⚠️ 低库存","")))</f>
        <v/>
      </c>
      <c r="H151" s="10" t="n"/>
      <c r="I151" s="10" t="n"/>
    </row>
    <row r="152">
      <c r="A152" s="7" t="inlineStr">
        <is>
          <t>F · 红色</t>
        </is>
      </c>
      <c r="B152" s="8" t="inlineStr">
        <is>
          <t>F10</t>
        </is>
      </c>
      <c r="C152" s="157" t="n"/>
      <c r="D152" s="10" t="n"/>
      <c r="E152" s="10" t="inlineStr">
        <is>
          <t>估算</t>
        </is>
      </c>
      <c r="F152" s="10" t="n">
        <v>1000</v>
      </c>
      <c r="G152" s="11">
        <f>IF(OR($D152="",$F152=""),"",IF($F152&lt;=0,"",IF($D152/$F152*100&lt;=$F$3,"⚠️ 低库存","")))</f>
        <v/>
      </c>
      <c r="H152" s="10" t="n"/>
      <c r="I152" s="10" t="n"/>
    </row>
    <row r="153">
      <c r="A153" s="7" t="inlineStr">
        <is>
          <t>F · 红色</t>
        </is>
      </c>
      <c r="B153" s="8" t="inlineStr">
        <is>
          <t>F11</t>
        </is>
      </c>
      <c r="C153" s="158" t="n"/>
      <c r="D153" s="10" t="n"/>
      <c r="E153" s="10" t="inlineStr">
        <is>
          <t>估算</t>
        </is>
      </c>
      <c r="F153" s="10" t="n">
        <v>1000</v>
      </c>
      <c r="G153" s="11">
        <f>IF(OR($D153="",$F153=""),"",IF($F153&lt;=0,"",IF($D153/$F153*100&lt;=$F$3,"⚠️ 低库存","")))</f>
        <v/>
      </c>
      <c r="H153" s="10" t="n"/>
      <c r="I153" s="10" t="n"/>
    </row>
    <row r="154">
      <c r="A154" s="7" t="inlineStr">
        <is>
          <t>F · 红色</t>
        </is>
      </c>
      <c r="B154" s="8" t="inlineStr">
        <is>
          <t>F12</t>
        </is>
      </c>
      <c r="C154" s="159" t="n"/>
      <c r="D154" s="10" t="n"/>
      <c r="E154" s="10" t="inlineStr">
        <is>
          <t>估算</t>
        </is>
      </c>
      <c r="F154" s="10" t="n">
        <v>1000</v>
      </c>
      <c r="G154" s="11">
        <f>IF(OR($D154="",$F154=""),"",IF($F154&lt;=0,"",IF($D154/$F154*100&lt;=$F$3,"⚠️ 低库存","")))</f>
        <v/>
      </c>
      <c r="H154" s="10" t="n"/>
      <c r="I154" s="10" t="n"/>
    </row>
    <row r="155">
      <c r="A155" s="7" t="inlineStr">
        <is>
          <t>F · 红色</t>
        </is>
      </c>
      <c r="B155" s="8" t="inlineStr">
        <is>
          <t>F13</t>
        </is>
      </c>
      <c r="C155" s="160" t="n"/>
      <c r="D155" s="10" t="n"/>
      <c r="E155" s="10" t="inlineStr">
        <is>
          <t>估算</t>
        </is>
      </c>
      <c r="F155" s="10" t="n">
        <v>1000</v>
      </c>
      <c r="G155" s="11">
        <f>IF(OR($D155="",$F155=""),"",IF($F155&lt;=0,"",IF($D155/$F155*100&lt;=$F$3,"⚠️ 低库存","")))</f>
        <v/>
      </c>
      <c r="H155" s="10" t="n"/>
      <c r="I155" s="10" t="n"/>
    </row>
    <row r="156">
      <c r="A156" s="7" t="inlineStr">
        <is>
          <t>F · 红色</t>
        </is>
      </c>
      <c r="B156" s="8" t="inlineStr">
        <is>
          <t>F14</t>
        </is>
      </c>
      <c r="C156" s="161" t="n"/>
      <c r="D156" s="10" t="n"/>
      <c r="E156" s="10" t="inlineStr">
        <is>
          <t>估算</t>
        </is>
      </c>
      <c r="F156" s="10" t="n">
        <v>1000</v>
      </c>
      <c r="G156" s="11">
        <f>IF(OR($D156="",$F156=""),"",IF($F156&lt;=0,"",IF($D156/$F156*100&lt;=$F$3,"⚠️ 低库存","")))</f>
        <v/>
      </c>
      <c r="H156" s="10" t="n"/>
      <c r="I156" s="10" t="n"/>
    </row>
    <row r="157">
      <c r="A157" s="7" t="inlineStr">
        <is>
          <t>F · 红色</t>
        </is>
      </c>
      <c r="B157" s="8" t="inlineStr">
        <is>
          <t>F15</t>
        </is>
      </c>
      <c r="C157" s="162" t="n"/>
      <c r="D157" s="10" t="n"/>
      <c r="E157" s="10" t="inlineStr">
        <is>
          <t>估算</t>
        </is>
      </c>
      <c r="F157" s="10" t="n">
        <v>1000</v>
      </c>
      <c r="G157" s="11">
        <f>IF(OR($D157="",$F157=""),"",IF($F157&lt;=0,"",IF($D157/$F157*100&lt;=$F$3,"⚠️ 低库存","")))</f>
        <v/>
      </c>
      <c r="H157" s="10" t="n"/>
      <c r="I157" s="10" t="n"/>
    </row>
    <row r="158">
      <c r="A158" s="7" t="inlineStr">
        <is>
          <t>F · 红色</t>
        </is>
      </c>
      <c r="B158" s="8" t="inlineStr">
        <is>
          <t>F16</t>
        </is>
      </c>
      <c r="C158" s="163" t="n"/>
      <c r="D158" s="10" t="n"/>
      <c r="E158" s="10" t="inlineStr">
        <is>
          <t>估算</t>
        </is>
      </c>
      <c r="F158" s="10" t="n">
        <v>1000</v>
      </c>
      <c r="G158" s="11">
        <f>IF(OR($D158="",$F158=""),"",IF($F158&lt;=0,"",IF($D158/$F158*100&lt;=$F$3,"⚠️ 低库存","")))</f>
        <v/>
      </c>
      <c r="H158" s="10" t="n"/>
      <c r="I158" s="10" t="n"/>
    </row>
    <row r="159">
      <c r="A159" s="7" t="inlineStr">
        <is>
          <t>F · 红色</t>
        </is>
      </c>
      <c r="B159" s="8" t="inlineStr">
        <is>
          <t>F17</t>
        </is>
      </c>
      <c r="C159" s="164" t="n"/>
      <c r="D159" s="10" t="n"/>
      <c r="E159" s="10" t="inlineStr">
        <is>
          <t>估算</t>
        </is>
      </c>
      <c r="F159" s="10" t="n">
        <v>1000</v>
      </c>
      <c r="G159" s="11">
        <f>IF(OR($D159="",$F159=""),"",IF($F159&lt;=0,"",IF($D159/$F159*100&lt;=$F$3,"⚠️ 低库存","")))</f>
        <v/>
      </c>
      <c r="H159" s="10" t="n"/>
      <c r="I159" s="10" t="n"/>
    </row>
    <row r="160">
      <c r="A160" s="7" t="inlineStr">
        <is>
          <t>F · 红色</t>
        </is>
      </c>
      <c r="B160" s="8" t="inlineStr">
        <is>
          <t>F18</t>
        </is>
      </c>
      <c r="C160" s="165" t="n"/>
      <c r="D160" s="10" t="n"/>
      <c r="E160" s="10" t="inlineStr">
        <is>
          <t>估算</t>
        </is>
      </c>
      <c r="F160" s="10" t="n">
        <v>1000</v>
      </c>
      <c r="G160" s="11">
        <f>IF(OR($D160="",$F160=""),"",IF($F160&lt;=0,"",IF($D160/$F160*100&lt;=$F$3,"⚠️ 低库存","")))</f>
        <v/>
      </c>
      <c r="H160" s="10" t="n"/>
      <c r="I160" s="10" t="n"/>
    </row>
    <row r="161">
      <c r="A161" s="7" t="inlineStr">
        <is>
          <t>F · 红色</t>
        </is>
      </c>
      <c r="B161" s="8" t="inlineStr">
        <is>
          <t>F19</t>
        </is>
      </c>
      <c r="C161" s="166" t="n"/>
      <c r="D161" s="10" t="n"/>
      <c r="E161" s="10" t="inlineStr">
        <is>
          <t>估算</t>
        </is>
      </c>
      <c r="F161" s="10" t="n">
        <v>1000</v>
      </c>
      <c r="G161" s="11">
        <f>IF(OR($D161="",$F161=""),"",IF($F161&lt;=0,"",IF($D161/$F161*100&lt;=$F$3,"⚠️ 低库存","")))</f>
        <v/>
      </c>
      <c r="H161" s="10" t="n"/>
      <c r="I161" s="10" t="n"/>
    </row>
    <row r="162">
      <c r="A162" s="7" t="inlineStr">
        <is>
          <t>F · 红色</t>
        </is>
      </c>
      <c r="B162" s="8" t="inlineStr">
        <is>
          <t>F20</t>
        </is>
      </c>
      <c r="C162" s="167" t="n"/>
      <c r="D162" s="10" t="n"/>
      <c r="E162" s="10" t="inlineStr">
        <is>
          <t>估算</t>
        </is>
      </c>
      <c r="F162" s="10" t="n">
        <v>1000</v>
      </c>
      <c r="G162" s="11">
        <f>IF(OR($D162="",$F162=""),"",IF($F162&lt;=0,"",IF($D162/$F162*100&lt;=$F$3,"⚠️ 低库存","")))</f>
        <v/>
      </c>
      <c r="H162" s="10" t="n"/>
      <c r="I162" s="10" t="n"/>
    </row>
    <row r="163">
      <c r="A163" s="7" t="inlineStr">
        <is>
          <t>F · 红色</t>
        </is>
      </c>
      <c r="B163" s="8" t="inlineStr">
        <is>
          <t>F21</t>
        </is>
      </c>
      <c r="C163" s="168" t="n"/>
      <c r="D163" s="10" t="n"/>
      <c r="E163" s="10" t="inlineStr">
        <is>
          <t>估算</t>
        </is>
      </c>
      <c r="F163" s="10" t="n">
        <v>1000</v>
      </c>
      <c r="G163" s="11">
        <f>IF(OR($D163="",$F163=""),"",IF($F163&lt;=0,"",IF($D163/$F163*100&lt;=$F$3,"⚠️ 低库存","")))</f>
        <v/>
      </c>
      <c r="H163" s="10" t="n"/>
      <c r="I163" s="10" t="n"/>
    </row>
    <row r="164">
      <c r="A164" s="7" t="inlineStr">
        <is>
          <t>F · 红色</t>
        </is>
      </c>
      <c r="B164" s="8" t="inlineStr">
        <is>
          <t>F22</t>
        </is>
      </c>
      <c r="C164" s="169" t="n"/>
      <c r="D164" s="10" t="n"/>
      <c r="E164" s="10" t="inlineStr">
        <is>
          <t>估算</t>
        </is>
      </c>
      <c r="F164" s="10" t="n">
        <v>1000</v>
      </c>
      <c r="G164" s="11">
        <f>IF(OR($D164="",$F164=""),"",IF($F164&lt;=0,"",IF($D164/$F164*100&lt;=$F$3,"⚠️ 低库存","")))</f>
        <v/>
      </c>
      <c r="H164" s="10" t="n"/>
      <c r="I164" s="10" t="n"/>
    </row>
    <row r="165">
      <c r="A165" s="7" t="inlineStr">
        <is>
          <t>F · 红色</t>
        </is>
      </c>
      <c r="B165" s="8" t="inlineStr">
        <is>
          <t>F23</t>
        </is>
      </c>
      <c r="C165" s="170" t="n"/>
      <c r="D165" s="10" t="n"/>
      <c r="E165" s="10" t="inlineStr">
        <is>
          <t>估算</t>
        </is>
      </c>
      <c r="F165" s="10" t="n">
        <v>1000</v>
      </c>
      <c r="G165" s="11">
        <f>IF(OR($D165="",$F165=""),"",IF($F165&lt;=0,"",IF($D165/$F165*100&lt;=$F$3,"⚠️ 低库存","")))</f>
        <v/>
      </c>
      <c r="H165" s="10" t="n"/>
      <c r="I165" s="10" t="n"/>
    </row>
    <row r="166">
      <c r="A166" s="7" t="inlineStr">
        <is>
          <t>F · 红色</t>
        </is>
      </c>
      <c r="B166" s="8" t="inlineStr">
        <is>
          <t>F24</t>
        </is>
      </c>
      <c r="C166" s="171" t="n"/>
      <c r="D166" s="10" t="n"/>
      <c r="E166" s="10" t="inlineStr">
        <is>
          <t>估算</t>
        </is>
      </c>
      <c r="F166" s="10" t="n">
        <v>1000</v>
      </c>
      <c r="G166" s="11">
        <f>IF(OR($D166="",$F166=""),"",IF($F166&lt;=0,"",IF($D166/$F166*100&lt;=$F$3,"⚠️ 低库存","")))</f>
        <v/>
      </c>
      <c r="H166" s="10" t="n"/>
      <c r="I166" s="10" t="n"/>
    </row>
    <row r="167">
      <c r="A167" s="7" t="inlineStr">
        <is>
          <t>F · 红色</t>
        </is>
      </c>
      <c r="B167" s="8" t="inlineStr">
        <is>
          <t>F25</t>
        </is>
      </c>
      <c r="C167" s="172" t="n"/>
      <c r="D167" s="10" t="n"/>
      <c r="E167" s="10" t="inlineStr">
        <is>
          <t>估算</t>
        </is>
      </c>
      <c r="F167" s="10" t="n">
        <v>1000</v>
      </c>
      <c r="G167" s="11">
        <f>IF(OR($D167="",$F167=""),"",IF($F167&lt;=0,"",IF($D167/$F167*100&lt;=$F$3,"⚠️ 低库存","")))</f>
        <v/>
      </c>
      <c r="H167" s="10" t="n"/>
      <c r="I167" s="10" t="n"/>
    </row>
    <row r="168">
      <c r="A168" s="7" t="inlineStr">
        <is>
          <t>G · 棕肤</t>
        </is>
      </c>
      <c r="B168" s="8" t="inlineStr">
        <is>
          <t>G1</t>
        </is>
      </c>
      <c r="C168" s="173" t="n"/>
      <c r="D168" s="10" t="n"/>
      <c r="E168" s="10" t="inlineStr">
        <is>
          <t>估算</t>
        </is>
      </c>
      <c r="F168" s="10" t="n">
        <v>1000</v>
      </c>
      <c r="G168" s="11">
        <f>IF(OR($D168="",$F168=""),"",IF($F168&lt;=0,"",IF($D168/$F168*100&lt;=$F$3,"⚠️ 低库存","")))</f>
        <v/>
      </c>
      <c r="H168" s="10" t="n"/>
      <c r="I168" s="10" t="n"/>
    </row>
    <row r="169">
      <c r="A169" s="7" t="inlineStr">
        <is>
          <t>G · 棕肤</t>
        </is>
      </c>
      <c r="B169" s="8" t="inlineStr">
        <is>
          <t>G2</t>
        </is>
      </c>
      <c r="C169" s="174" t="n"/>
      <c r="D169" s="10" t="n"/>
      <c r="E169" s="10" t="inlineStr">
        <is>
          <t>估算</t>
        </is>
      </c>
      <c r="F169" s="10" t="n">
        <v>1000</v>
      </c>
      <c r="G169" s="11">
        <f>IF(OR($D169="",$F169=""),"",IF($F169&lt;=0,"",IF($D169/$F169*100&lt;=$F$3,"⚠️ 低库存","")))</f>
        <v/>
      </c>
      <c r="H169" s="10" t="n"/>
      <c r="I169" s="10" t="n"/>
    </row>
    <row r="170">
      <c r="A170" s="7" t="inlineStr">
        <is>
          <t>G · 棕肤</t>
        </is>
      </c>
      <c r="B170" s="8" t="inlineStr">
        <is>
          <t>G3</t>
        </is>
      </c>
      <c r="C170" s="175" t="n"/>
      <c r="D170" s="10" t="n"/>
      <c r="E170" s="10" t="inlineStr">
        <is>
          <t>估算</t>
        </is>
      </c>
      <c r="F170" s="10" t="n">
        <v>1000</v>
      </c>
      <c r="G170" s="11">
        <f>IF(OR($D170="",$F170=""),"",IF($F170&lt;=0,"",IF($D170/$F170*100&lt;=$F$3,"⚠️ 低库存","")))</f>
        <v/>
      </c>
      <c r="H170" s="10" t="n"/>
      <c r="I170" s="10" t="n"/>
    </row>
    <row r="171">
      <c r="A171" s="7" t="inlineStr">
        <is>
          <t>G · 棕肤</t>
        </is>
      </c>
      <c r="B171" s="8" t="inlineStr">
        <is>
          <t>G4</t>
        </is>
      </c>
      <c r="C171" s="176" t="n"/>
      <c r="D171" s="10" t="n"/>
      <c r="E171" s="10" t="inlineStr">
        <is>
          <t>估算</t>
        </is>
      </c>
      <c r="F171" s="10" t="n">
        <v>1000</v>
      </c>
      <c r="G171" s="11">
        <f>IF(OR($D171="",$F171=""),"",IF($F171&lt;=0,"",IF($D171/$F171*100&lt;=$F$3,"⚠️ 低库存","")))</f>
        <v/>
      </c>
      <c r="H171" s="10" t="n"/>
      <c r="I171" s="10" t="n"/>
    </row>
    <row r="172">
      <c r="A172" s="7" t="inlineStr">
        <is>
          <t>G · 棕肤</t>
        </is>
      </c>
      <c r="B172" s="8" t="inlineStr">
        <is>
          <t>G5</t>
        </is>
      </c>
      <c r="C172" s="177" t="n"/>
      <c r="D172" s="10" t="n"/>
      <c r="E172" s="10" t="inlineStr">
        <is>
          <t>估算</t>
        </is>
      </c>
      <c r="F172" s="10" t="n">
        <v>1000</v>
      </c>
      <c r="G172" s="11">
        <f>IF(OR($D172="",$F172=""),"",IF($F172&lt;=0,"",IF($D172/$F172*100&lt;=$F$3,"⚠️ 低库存","")))</f>
        <v/>
      </c>
      <c r="H172" s="10" t="n"/>
      <c r="I172" s="10" t="n"/>
    </row>
    <row r="173">
      <c r="A173" s="7" t="inlineStr">
        <is>
          <t>G · 棕肤</t>
        </is>
      </c>
      <c r="B173" s="8" t="inlineStr">
        <is>
          <t>G6</t>
        </is>
      </c>
      <c r="C173" s="178" t="n"/>
      <c r="D173" s="10" t="n"/>
      <c r="E173" s="10" t="inlineStr">
        <is>
          <t>估算</t>
        </is>
      </c>
      <c r="F173" s="10" t="n">
        <v>1000</v>
      </c>
      <c r="G173" s="11">
        <f>IF(OR($D173="",$F173=""),"",IF($F173&lt;=0,"",IF($D173/$F173*100&lt;=$F$3,"⚠️ 低库存","")))</f>
        <v/>
      </c>
      <c r="H173" s="10" t="n"/>
      <c r="I173" s="10" t="n"/>
    </row>
    <row r="174">
      <c r="A174" s="7" t="inlineStr">
        <is>
          <t>G · 棕肤</t>
        </is>
      </c>
      <c r="B174" s="8" t="inlineStr">
        <is>
          <t>G7</t>
        </is>
      </c>
      <c r="C174" s="179" t="n"/>
      <c r="D174" s="10" t="n"/>
      <c r="E174" s="10" t="inlineStr">
        <is>
          <t>估算</t>
        </is>
      </c>
      <c r="F174" s="10" t="n">
        <v>1000</v>
      </c>
      <c r="G174" s="11">
        <f>IF(OR($D174="",$F174=""),"",IF($F174&lt;=0,"",IF($D174/$F174*100&lt;=$F$3,"⚠️ 低库存","")))</f>
        <v/>
      </c>
      <c r="H174" s="10" t="n"/>
      <c r="I174" s="10" t="n"/>
    </row>
    <row r="175">
      <c r="A175" s="7" t="inlineStr">
        <is>
          <t>G · 棕肤</t>
        </is>
      </c>
      <c r="B175" s="8" t="inlineStr">
        <is>
          <t>G8</t>
        </is>
      </c>
      <c r="C175" s="180" t="n"/>
      <c r="D175" s="10" t="n"/>
      <c r="E175" s="10" t="inlineStr">
        <is>
          <t>估算</t>
        </is>
      </c>
      <c r="F175" s="10" t="n">
        <v>1000</v>
      </c>
      <c r="G175" s="11">
        <f>IF(OR($D175="",$F175=""),"",IF($F175&lt;=0,"",IF($D175/$F175*100&lt;=$F$3,"⚠️ 低库存","")))</f>
        <v/>
      </c>
      <c r="H175" s="10" t="n"/>
      <c r="I175" s="10" t="n"/>
    </row>
    <row r="176">
      <c r="A176" s="7" t="inlineStr">
        <is>
          <t>G · 棕肤</t>
        </is>
      </c>
      <c r="B176" s="8" t="inlineStr">
        <is>
          <t>G9</t>
        </is>
      </c>
      <c r="C176" s="181" t="n"/>
      <c r="D176" s="10" t="n"/>
      <c r="E176" s="10" t="inlineStr">
        <is>
          <t>估算</t>
        </is>
      </c>
      <c r="F176" s="10" t="n">
        <v>1000</v>
      </c>
      <c r="G176" s="11">
        <f>IF(OR($D176="",$F176=""),"",IF($F176&lt;=0,"",IF($D176/$F176*100&lt;=$F$3,"⚠️ 低库存","")))</f>
        <v/>
      </c>
      <c r="H176" s="10" t="n"/>
      <c r="I176" s="10" t="n"/>
    </row>
    <row r="177">
      <c r="A177" s="7" t="inlineStr">
        <is>
          <t>G · 棕肤</t>
        </is>
      </c>
      <c r="B177" s="8" t="inlineStr">
        <is>
          <t>G10</t>
        </is>
      </c>
      <c r="C177" s="182" t="n"/>
      <c r="D177" s="10" t="n"/>
      <c r="E177" s="10" t="inlineStr">
        <is>
          <t>估算</t>
        </is>
      </c>
      <c r="F177" s="10" t="n">
        <v>1000</v>
      </c>
      <c r="G177" s="11">
        <f>IF(OR($D177="",$F177=""),"",IF($F177&lt;=0,"",IF($D177/$F177*100&lt;=$F$3,"⚠️ 低库存","")))</f>
        <v/>
      </c>
      <c r="H177" s="10" t="n"/>
      <c r="I177" s="10" t="n"/>
    </row>
    <row r="178">
      <c r="A178" s="7" t="inlineStr">
        <is>
          <t>G · 棕肤</t>
        </is>
      </c>
      <c r="B178" s="8" t="inlineStr">
        <is>
          <t>G11</t>
        </is>
      </c>
      <c r="C178" s="183" t="n"/>
      <c r="D178" s="10" t="n"/>
      <c r="E178" s="10" t="inlineStr">
        <is>
          <t>估算</t>
        </is>
      </c>
      <c r="F178" s="10" t="n">
        <v>1000</v>
      </c>
      <c r="G178" s="11">
        <f>IF(OR($D178="",$F178=""),"",IF($F178&lt;=0,"",IF($D178/$F178*100&lt;=$F$3,"⚠️ 低库存","")))</f>
        <v/>
      </c>
      <c r="H178" s="10" t="n"/>
      <c r="I178" s="10" t="n"/>
    </row>
    <row r="179">
      <c r="A179" s="7" t="inlineStr">
        <is>
          <t>G · 棕肤</t>
        </is>
      </c>
      <c r="B179" s="8" t="inlineStr">
        <is>
          <t>G12</t>
        </is>
      </c>
      <c r="C179" s="184" t="n"/>
      <c r="D179" s="10" t="n"/>
      <c r="E179" s="10" t="inlineStr">
        <is>
          <t>估算</t>
        </is>
      </c>
      <c r="F179" s="10" t="n">
        <v>1000</v>
      </c>
      <c r="G179" s="11">
        <f>IF(OR($D179="",$F179=""),"",IF($F179&lt;=0,"",IF($D179/$F179*100&lt;=$F$3,"⚠️ 低库存","")))</f>
        <v/>
      </c>
      <c r="H179" s="10" t="n"/>
      <c r="I179" s="10" t="n"/>
    </row>
    <row r="180">
      <c r="A180" s="7" t="inlineStr">
        <is>
          <t>G · 棕肤</t>
        </is>
      </c>
      <c r="B180" s="8" t="inlineStr">
        <is>
          <t>G13</t>
        </is>
      </c>
      <c r="C180" s="185" t="n"/>
      <c r="D180" s="10" t="n"/>
      <c r="E180" s="10" t="inlineStr">
        <is>
          <t>估算</t>
        </is>
      </c>
      <c r="F180" s="10" t="n">
        <v>1000</v>
      </c>
      <c r="G180" s="11">
        <f>IF(OR($D180="",$F180=""),"",IF($F180&lt;=0,"",IF($D180/$F180*100&lt;=$F$3,"⚠️ 低库存","")))</f>
        <v/>
      </c>
      <c r="H180" s="10" t="n"/>
      <c r="I180" s="10" t="n"/>
    </row>
    <row r="181">
      <c r="A181" s="7" t="inlineStr">
        <is>
          <t>G · 棕肤</t>
        </is>
      </c>
      <c r="B181" s="8" t="inlineStr">
        <is>
          <t>G14</t>
        </is>
      </c>
      <c r="C181" s="186" t="n"/>
      <c r="D181" s="10" t="n"/>
      <c r="E181" s="10" t="inlineStr">
        <is>
          <t>估算</t>
        </is>
      </c>
      <c r="F181" s="10" t="n">
        <v>1000</v>
      </c>
      <c r="G181" s="11">
        <f>IF(OR($D181="",$F181=""),"",IF($F181&lt;=0,"",IF($D181/$F181*100&lt;=$F$3,"⚠️ 低库存","")))</f>
        <v/>
      </c>
      <c r="H181" s="10" t="n"/>
      <c r="I181" s="10" t="n"/>
    </row>
    <row r="182">
      <c r="A182" s="7" t="inlineStr">
        <is>
          <t>G · 棕肤</t>
        </is>
      </c>
      <c r="B182" s="8" t="inlineStr">
        <is>
          <t>G15</t>
        </is>
      </c>
      <c r="C182" s="187" t="n"/>
      <c r="D182" s="10" t="n"/>
      <c r="E182" s="10" t="inlineStr">
        <is>
          <t>估算</t>
        </is>
      </c>
      <c r="F182" s="10" t="n">
        <v>1000</v>
      </c>
      <c r="G182" s="11">
        <f>IF(OR($D182="",$F182=""),"",IF($F182&lt;=0,"",IF($D182/$F182*100&lt;=$F$3,"⚠️ 低库存","")))</f>
        <v/>
      </c>
      <c r="H182" s="10" t="n"/>
      <c r="I182" s="10" t="n"/>
    </row>
    <row r="183">
      <c r="A183" s="7" t="inlineStr">
        <is>
          <t>G · 棕肤</t>
        </is>
      </c>
      <c r="B183" s="8" t="inlineStr">
        <is>
          <t>G16</t>
        </is>
      </c>
      <c r="C183" s="188" t="n"/>
      <c r="D183" s="10" t="n"/>
      <c r="E183" s="10" t="inlineStr">
        <is>
          <t>估算</t>
        </is>
      </c>
      <c r="F183" s="10" t="n">
        <v>1000</v>
      </c>
      <c r="G183" s="11">
        <f>IF(OR($D183="",$F183=""),"",IF($F183&lt;=0,"",IF($D183/$F183*100&lt;=$F$3,"⚠️ 低库存","")))</f>
        <v/>
      </c>
      <c r="H183" s="10" t="n"/>
      <c r="I183" s="10" t="n"/>
    </row>
    <row r="184">
      <c r="A184" s="7" t="inlineStr">
        <is>
          <t>G · 棕肤</t>
        </is>
      </c>
      <c r="B184" s="8" t="inlineStr">
        <is>
          <t>G17</t>
        </is>
      </c>
      <c r="C184" s="189" t="n"/>
      <c r="D184" s="10" t="n"/>
      <c r="E184" s="10" t="inlineStr">
        <is>
          <t>估算</t>
        </is>
      </c>
      <c r="F184" s="10" t="n">
        <v>1000</v>
      </c>
      <c r="G184" s="11">
        <f>IF(OR($D184="",$F184=""),"",IF($F184&lt;=0,"",IF($D184/$F184*100&lt;=$F$3,"⚠️ 低库存","")))</f>
        <v/>
      </c>
      <c r="H184" s="10" t="n"/>
      <c r="I184" s="10" t="n"/>
    </row>
    <row r="185">
      <c r="A185" s="7" t="inlineStr">
        <is>
          <t>G · 棕肤</t>
        </is>
      </c>
      <c r="B185" s="8" t="inlineStr">
        <is>
          <t>G18</t>
        </is>
      </c>
      <c r="C185" s="190" t="n"/>
      <c r="D185" s="10" t="n"/>
      <c r="E185" s="10" t="inlineStr">
        <is>
          <t>估算</t>
        </is>
      </c>
      <c r="F185" s="10" t="n">
        <v>1000</v>
      </c>
      <c r="G185" s="11">
        <f>IF(OR($D185="",$F185=""),"",IF($F185&lt;=0,"",IF($D185/$F185*100&lt;=$F$3,"⚠️ 低库存","")))</f>
        <v/>
      </c>
      <c r="H185" s="10" t="n"/>
      <c r="I185" s="10" t="n"/>
    </row>
    <row r="186">
      <c r="A186" s="7" t="inlineStr">
        <is>
          <t>G · 棕肤</t>
        </is>
      </c>
      <c r="B186" s="8" t="inlineStr">
        <is>
          <t>G19</t>
        </is>
      </c>
      <c r="C186" s="191" t="n"/>
      <c r="D186" s="10" t="n"/>
      <c r="E186" s="10" t="inlineStr">
        <is>
          <t>估算</t>
        </is>
      </c>
      <c r="F186" s="10" t="n">
        <v>1000</v>
      </c>
      <c r="G186" s="11">
        <f>IF(OR($D186="",$F186=""),"",IF($F186&lt;=0,"",IF($D186/$F186*100&lt;=$F$3,"⚠️ 低库存","")))</f>
        <v/>
      </c>
      <c r="H186" s="10" t="n"/>
      <c r="I186" s="10" t="n"/>
    </row>
    <row r="187">
      <c r="A187" s="7" t="inlineStr">
        <is>
          <t>G · 棕肤</t>
        </is>
      </c>
      <c r="B187" s="8" t="inlineStr">
        <is>
          <t>G20</t>
        </is>
      </c>
      <c r="C187" s="192" t="n"/>
      <c r="D187" s="10" t="n"/>
      <c r="E187" s="10" t="inlineStr">
        <is>
          <t>估算</t>
        </is>
      </c>
      <c r="F187" s="10" t="n">
        <v>1000</v>
      </c>
      <c r="G187" s="11">
        <f>IF(OR($D187="",$F187=""),"",IF($F187&lt;=0,"",IF($D187/$F187*100&lt;=$F$3,"⚠️ 低库存","")))</f>
        <v/>
      </c>
      <c r="H187" s="10" t="n"/>
      <c r="I187" s="10" t="n"/>
    </row>
    <row r="188">
      <c r="A188" s="7" t="inlineStr">
        <is>
          <t>G · 棕肤</t>
        </is>
      </c>
      <c r="B188" s="8" t="inlineStr">
        <is>
          <t>G21</t>
        </is>
      </c>
      <c r="C188" s="193" t="n"/>
      <c r="D188" s="10" t="n"/>
      <c r="E188" s="10" t="inlineStr">
        <is>
          <t>估算</t>
        </is>
      </c>
      <c r="F188" s="10" t="n">
        <v>1000</v>
      </c>
      <c r="G188" s="11">
        <f>IF(OR($D188="",$F188=""),"",IF($F188&lt;=0,"",IF($D188/$F188*100&lt;=$F$3,"⚠️ 低库存","")))</f>
        <v/>
      </c>
      <c r="H188" s="10" t="n"/>
      <c r="I188" s="10" t="n"/>
    </row>
    <row r="189">
      <c r="A189" s="7" t="inlineStr">
        <is>
          <t>H · 黑白</t>
        </is>
      </c>
      <c r="B189" s="8" t="inlineStr">
        <is>
          <t>H1</t>
        </is>
      </c>
      <c r="C189" s="194" t="n"/>
      <c r="D189" s="10" t="n"/>
      <c r="E189" s="10" t="inlineStr">
        <is>
          <t>估算</t>
        </is>
      </c>
      <c r="F189" s="10" t="n">
        <v>1000</v>
      </c>
      <c r="G189" s="11">
        <f>IF(OR($D189="",$F189=""),"",IF($F189&lt;=0,"",IF($D189/$F189*100&lt;=$F$3,"⚠️ 低库存","")))</f>
        <v/>
      </c>
      <c r="H189" s="10" t="n"/>
      <c r="I189" s="10" t="n"/>
    </row>
    <row r="190">
      <c r="A190" s="7" t="inlineStr">
        <is>
          <t>H · 黑白</t>
        </is>
      </c>
      <c r="B190" s="8" t="inlineStr">
        <is>
          <t>H2</t>
        </is>
      </c>
      <c r="C190" s="195" t="n"/>
      <c r="D190" s="10" t="n"/>
      <c r="E190" s="10" t="inlineStr">
        <is>
          <t>估算</t>
        </is>
      </c>
      <c r="F190" s="10" t="n">
        <v>1000</v>
      </c>
      <c r="G190" s="11">
        <f>IF(OR($D190="",$F190=""),"",IF($F190&lt;=0,"",IF($D190/$F190*100&lt;=$F$3,"⚠️ 低库存","")))</f>
        <v/>
      </c>
      <c r="H190" s="10" t="n"/>
      <c r="I190" s="10" t="n"/>
    </row>
    <row r="191">
      <c r="A191" s="7" t="inlineStr">
        <is>
          <t>H · 黑白</t>
        </is>
      </c>
      <c r="B191" s="8" t="inlineStr">
        <is>
          <t>H3</t>
        </is>
      </c>
      <c r="C191" s="196" t="n"/>
      <c r="D191" s="10" t="n"/>
      <c r="E191" s="10" t="inlineStr">
        <is>
          <t>估算</t>
        </is>
      </c>
      <c r="F191" s="10" t="n">
        <v>1000</v>
      </c>
      <c r="G191" s="11">
        <f>IF(OR($D191="",$F191=""),"",IF($F191&lt;=0,"",IF($D191/$F191*100&lt;=$F$3,"⚠️ 低库存","")))</f>
        <v/>
      </c>
      <c r="H191" s="10" t="n"/>
      <c r="I191" s="10" t="n"/>
    </row>
    <row r="192">
      <c r="A192" s="7" t="inlineStr">
        <is>
          <t>H · 黑白</t>
        </is>
      </c>
      <c r="B192" s="8" t="inlineStr">
        <is>
          <t>H4</t>
        </is>
      </c>
      <c r="C192" s="197" t="n"/>
      <c r="D192" s="10" t="n"/>
      <c r="E192" s="10" t="inlineStr">
        <is>
          <t>估算</t>
        </is>
      </c>
      <c r="F192" s="10" t="n">
        <v>1000</v>
      </c>
      <c r="G192" s="11">
        <f>IF(OR($D192="",$F192=""),"",IF($F192&lt;=0,"",IF($D192/$F192*100&lt;=$F$3,"⚠️ 低库存","")))</f>
        <v/>
      </c>
      <c r="H192" s="10" t="n"/>
      <c r="I192" s="10" t="n"/>
    </row>
    <row r="193">
      <c r="A193" s="7" t="inlineStr">
        <is>
          <t>H · 黑白</t>
        </is>
      </c>
      <c r="B193" s="8" t="inlineStr">
        <is>
          <t>H5</t>
        </is>
      </c>
      <c r="C193" s="198" t="n"/>
      <c r="D193" s="10" t="n"/>
      <c r="E193" s="10" t="inlineStr">
        <is>
          <t>估算</t>
        </is>
      </c>
      <c r="F193" s="10" t="n">
        <v>1000</v>
      </c>
      <c r="G193" s="11">
        <f>IF(OR($D193="",$F193=""),"",IF($F193&lt;=0,"",IF($D193/$F193*100&lt;=$F$3,"⚠️ 低库存","")))</f>
        <v/>
      </c>
      <c r="H193" s="10" t="n"/>
      <c r="I193" s="10" t="n"/>
    </row>
    <row r="194">
      <c r="A194" s="7" t="inlineStr">
        <is>
          <t>H · 黑白</t>
        </is>
      </c>
      <c r="B194" s="8" t="inlineStr">
        <is>
          <t>H6</t>
        </is>
      </c>
      <c r="C194" s="199" t="n"/>
      <c r="D194" s="10" t="n"/>
      <c r="E194" s="10" t="inlineStr">
        <is>
          <t>估算</t>
        </is>
      </c>
      <c r="F194" s="10" t="n">
        <v>1000</v>
      </c>
      <c r="G194" s="11">
        <f>IF(OR($D194="",$F194=""),"",IF($F194&lt;=0,"",IF($D194/$F194*100&lt;=$F$3,"⚠️ 低库存","")))</f>
        <v/>
      </c>
      <c r="H194" s="10" t="n"/>
      <c r="I194" s="10" t="n"/>
    </row>
    <row r="195">
      <c r="A195" s="7" t="inlineStr">
        <is>
          <t>H · 黑白</t>
        </is>
      </c>
      <c r="B195" s="8" t="inlineStr">
        <is>
          <t>H7</t>
        </is>
      </c>
      <c r="C195" s="200" t="n"/>
      <c r="D195" s="10" t="n"/>
      <c r="E195" s="10" t="inlineStr">
        <is>
          <t>估算</t>
        </is>
      </c>
      <c r="F195" s="10" t="n">
        <v>1000</v>
      </c>
      <c r="G195" s="11">
        <f>IF(OR($D195="",$F195=""),"",IF($F195&lt;=0,"",IF($D195/$F195*100&lt;=$F$3,"⚠️ 低库存","")))</f>
        <v/>
      </c>
      <c r="H195" s="10" t="n"/>
      <c r="I195" s="10" t="n"/>
    </row>
    <row r="196">
      <c r="A196" s="7" t="inlineStr">
        <is>
          <t>H · 黑白</t>
        </is>
      </c>
      <c r="B196" s="8" t="inlineStr">
        <is>
          <t>H8</t>
        </is>
      </c>
      <c r="C196" s="201" t="n"/>
      <c r="D196" s="10" t="n"/>
      <c r="E196" s="10" t="inlineStr">
        <is>
          <t>估算</t>
        </is>
      </c>
      <c r="F196" s="10" t="n">
        <v>1000</v>
      </c>
      <c r="G196" s="11">
        <f>IF(OR($D196="",$F196=""),"",IF($F196&lt;=0,"",IF($D196/$F196*100&lt;=$F$3,"⚠️ 低库存","")))</f>
        <v/>
      </c>
      <c r="H196" s="10" t="n"/>
      <c r="I196" s="10" t="n"/>
    </row>
    <row r="197">
      <c r="A197" s="7" t="inlineStr">
        <is>
          <t>H · 黑白</t>
        </is>
      </c>
      <c r="B197" s="8" t="inlineStr">
        <is>
          <t>H9</t>
        </is>
      </c>
      <c r="C197" s="202" t="n"/>
      <c r="D197" s="10" t="n"/>
      <c r="E197" s="10" t="inlineStr">
        <is>
          <t>估算</t>
        </is>
      </c>
      <c r="F197" s="10" t="n">
        <v>1000</v>
      </c>
      <c r="G197" s="11">
        <f>IF(OR($D197="",$F197=""),"",IF($F197&lt;=0,"",IF($D197/$F197*100&lt;=$F$3,"⚠️ 低库存","")))</f>
        <v/>
      </c>
      <c r="H197" s="10" t="n"/>
      <c r="I197" s="10" t="n"/>
    </row>
    <row r="198">
      <c r="A198" s="7" t="inlineStr">
        <is>
          <t>H · 黑白</t>
        </is>
      </c>
      <c r="B198" s="8" t="inlineStr">
        <is>
          <t>H10</t>
        </is>
      </c>
      <c r="C198" s="203" t="n"/>
      <c r="D198" s="10" t="n"/>
      <c r="E198" s="10" t="inlineStr">
        <is>
          <t>估算</t>
        </is>
      </c>
      <c r="F198" s="10" t="n">
        <v>1000</v>
      </c>
      <c r="G198" s="11">
        <f>IF(OR($D198="",$F198=""),"",IF($F198&lt;=0,"",IF($D198/$F198*100&lt;=$F$3,"⚠️ 低库存","")))</f>
        <v/>
      </c>
      <c r="H198" s="10" t="n"/>
      <c r="I198" s="10" t="n"/>
    </row>
    <row r="199">
      <c r="A199" s="7" t="inlineStr">
        <is>
          <t>H · 黑白</t>
        </is>
      </c>
      <c r="B199" s="8" t="inlineStr">
        <is>
          <t>H11</t>
        </is>
      </c>
      <c r="C199" s="204" t="n"/>
      <c r="D199" s="10" t="n"/>
      <c r="E199" s="10" t="inlineStr">
        <is>
          <t>估算</t>
        </is>
      </c>
      <c r="F199" s="10" t="n">
        <v>1000</v>
      </c>
      <c r="G199" s="11">
        <f>IF(OR($D199="",$F199=""),"",IF($F199&lt;=0,"",IF($D199/$F199*100&lt;=$F$3,"⚠️ 低库存","")))</f>
        <v/>
      </c>
      <c r="H199" s="10" t="n"/>
      <c r="I199" s="10" t="n"/>
    </row>
    <row r="200">
      <c r="A200" s="7" t="inlineStr">
        <is>
          <t>H · 黑白</t>
        </is>
      </c>
      <c r="B200" s="8" t="inlineStr">
        <is>
          <t>H12</t>
        </is>
      </c>
      <c r="C200" s="205" t="n"/>
      <c r="D200" s="10" t="n"/>
      <c r="E200" s="10" t="inlineStr">
        <is>
          <t>估算</t>
        </is>
      </c>
      <c r="F200" s="10" t="n">
        <v>1000</v>
      </c>
      <c r="G200" s="11">
        <f>IF(OR($D200="",$F200=""),"",IF($F200&lt;=0,"",IF($D200/$F200*100&lt;=$F$3,"⚠️ 低库存","")))</f>
        <v/>
      </c>
      <c r="H200" s="10" t="n"/>
      <c r="I200" s="10" t="n"/>
    </row>
    <row r="201">
      <c r="A201" s="7" t="inlineStr">
        <is>
          <t>H · 黑白</t>
        </is>
      </c>
      <c r="B201" s="8" t="inlineStr">
        <is>
          <t>H13</t>
        </is>
      </c>
      <c r="C201" s="206" t="n"/>
      <c r="D201" s="10" t="n"/>
      <c r="E201" s="10" t="inlineStr">
        <is>
          <t>估算</t>
        </is>
      </c>
      <c r="F201" s="10" t="n">
        <v>1000</v>
      </c>
      <c r="G201" s="11">
        <f>IF(OR($D201="",$F201=""),"",IF($F201&lt;=0,"",IF($D201/$F201*100&lt;=$F$3,"⚠️ 低库存","")))</f>
        <v/>
      </c>
      <c r="H201" s="10" t="n"/>
      <c r="I201" s="10" t="n"/>
    </row>
    <row r="202">
      <c r="A202" s="7" t="inlineStr">
        <is>
          <t>H · 黑白</t>
        </is>
      </c>
      <c r="B202" s="8" t="inlineStr">
        <is>
          <t>H14</t>
        </is>
      </c>
      <c r="C202" s="207" t="n"/>
      <c r="D202" s="10" t="n"/>
      <c r="E202" s="10" t="inlineStr">
        <is>
          <t>估算</t>
        </is>
      </c>
      <c r="F202" s="10" t="n">
        <v>1000</v>
      </c>
      <c r="G202" s="11">
        <f>IF(OR($D202="",$F202=""),"",IF($F202&lt;=0,"",IF($D202/$F202*100&lt;=$F$3,"⚠️ 低库存","")))</f>
        <v/>
      </c>
      <c r="H202" s="10" t="n"/>
      <c r="I202" s="10" t="n"/>
    </row>
    <row r="203">
      <c r="A203" s="7" t="inlineStr">
        <is>
          <t>H · 黑白</t>
        </is>
      </c>
      <c r="B203" s="8" t="inlineStr">
        <is>
          <t>H15</t>
        </is>
      </c>
      <c r="C203" s="208" t="n"/>
      <c r="D203" s="10" t="n"/>
      <c r="E203" s="10" t="inlineStr">
        <is>
          <t>估算</t>
        </is>
      </c>
      <c r="F203" s="10" t="n">
        <v>1000</v>
      </c>
      <c r="G203" s="11">
        <f>IF(OR($D203="",$F203=""),"",IF($F203&lt;=0,"",IF($D203/$F203*100&lt;=$F$3,"⚠️ 低库存","")))</f>
        <v/>
      </c>
      <c r="H203" s="10" t="n"/>
      <c r="I203" s="10" t="n"/>
    </row>
    <row r="204">
      <c r="A204" s="7" t="inlineStr">
        <is>
          <t>H · 黑白</t>
        </is>
      </c>
      <c r="B204" s="8" t="inlineStr">
        <is>
          <t>H16</t>
        </is>
      </c>
      <c r="C204" s="209" t="n"/>
      <c r="D204" s="10" t="n"/>
      <c r="E204" s="10" t="inlineStr">
        <is>
          <t>估算</t>
        </is>
      </c>
      <c r="F204" s="10" t="n">
        <v>1000</v>
      </c>
      <c r="G204" s="11">
        <f>IF(OR($D204="",$F204=""),"",IF($F204&lt;=0,"",IF($D204/$F204*100&lt;=$F$3,"⚠️ 低库存","")))</f>
        <v/>
      </c>
      <c r="H204" s="10" t="n"/>
      <c r="I204" s="10" t="n"/>
    </row>
    <row r="205">
      <c r="A205" s="7" t="inlineStr">
        <is>
          <t>H · 黑白</t>
        </is>
      </c>
      <c r="B205" s="8" t="inlineStr">
        <is>
          <t>H17</t>
        </is>
      </c>
      <c r="C205" s="210" t="n"/>
      <c r="D205" s="10" t="n"/>
      <c r="E205" s="10" t="inlineStr">
        <is>
          <t>估算</t>
        </is>
      </c>
      <c r="F205" s="10" t="n">
        <v>1000</v>
      </c>
      <c r="G205" s="11">
        <f>IF(OR($D205="",$F205=""),"",IF($F205&lt;=0,"",IF($D205/$F205*100&lt;=$F$3,"⚠️ 低库存","")))</f>
        <v/>
      </c>
      <c r="H205" s="10" t="n"/>
      <c r="I205" s="10" t="n"/>
    </row>
    <row r="206">
      <c r="A206" s="7" t="inlineStr">
        <is>
          <t>H · 黑白</t>
        </is>
      </c>
      <c r="B206" s="8" t="inlineStr">
        <is>
          <t>H18</t>
        </is>
      </c>
      <c r="C206" s="211" t="n"/>
      <c r="D206" s="10" t="n"/>
      <c r="E206" s="10" t="inlineStr">
        <is>
          <t>估算</t>
        </is>
      </c>
      <c r="F206" s="10" t="n">
        <v>1000</v>
      </c>
      <c r="G206" s="11">
        <f>IF(OR($D206="",$F206=""),"",IF($F206&lt;=0,"",IF($D206/$F206*100&lt;=$F$3,"⚠️ 低库存","")))</f>
        <v/>
      </c>
      <c r="H206" s="10" t="n"/>
      <c r="I206" s="10" t="n"/>
    </row>
    <row r="207">
      <c r="A207" s="7" t="inlineStr">
        <is>
          <t>H · 黑白</t>
        </is>
      </c>
      <c r="B207" s="8" t="inlineStr">
        <is>
          <t>H19</t>
        </is>
      </c>
      <c r="C207" s="212" t="n"/>
      <c r="D207" s="10" t="n"/>
      <c r="E207" s="10" t="inlineStr">
        <is>
          <t>估算</t>
        </is>
      </c>
      <c r="F207" s="10" t="n">
        <v>1000</v>
      </c>
      <c r="G207" s="11">
        <f>IF(OR($D207="",$F207=""),"",IF($F207&lt;=0,"",IF($D207/$F207*100&lt;=$F$3,"⚠️ 低库存","")))</f>
        <v/>
      </c>
      <c r="H207" s="10" t="n"/>
      <c r="I207" s="10" t="n"/>
    </row>
    <row r="208">
      <c r="A208" s="7" t="inlineStr">
        <is>
          <t>H · 黑白</t>
        </is>
      </c>
      <c r="B208" s="8" t="inlineStr">
        <is>
          <t>H20</t>
        </is>
      </c>
      <c r="C208" s="213" t="n"/>
      <c r="D208" s="10" t="n"/>
      <c r="E208" s="10" t="inlineStr">
        <is>
          <t>估算</t>
        </is>
      </c>
      <c r="F208" s="10" t="n">
        <v>1000</v>
      </c>
      <c r="G208" s="11">
        <f>IF(OR($D208="",$F208=""),"",IF($F208&lt;=0,"",IF($D208/$F208*100&lt;=$F$3,"⚠️ 低库存","")))</f>
        <v/>
      </c>
      <c r="H208" s="10" t="n"/>
      <c r="I208" s="10" t="n"/>
    </row>
    <row r="209">
      <c r="A209" s="7" t="inlineStr">
        <is>
          <t>H · 黑白</t>
        </is>
      </c>
      <c r="B209" s="8" t="inlineStr">
        <is>
          <t>H21</t>
        </is>
      </c>
      <c r="C209" s="214" t="n"/>
      <c r="D209" s="10" t="n"/>
      <c r="E209" s="10" t="inlineStr">
        <is>
          <t>估算</t>
        </is>
      </c>
      <c r="F209" s="10" t="n">
        <v>1000</v>
      </c>
      <c r="G209" s="11">
        <f>IF(OR($D209="",$F209=""),"",IF($F209&lt;=0,"",IF($D209/$F209*100&lt;=$F$3,"⚠️ 低库存","")))</f>
        <v/>
      </c>
      <c r="H209" s="10" t="n"/>
      <c r="I209" s="10" t="n"/>
    </row>
    <row r="210">
      <c r="A210" s="7" t="inlineStr">
        <is>
          <t>H · 黑白</t>
        </is>
      </c>
      <c r="B210" s="8" t="inlineStr">
        <is>
          <t>H22</t>
        </is>
      </c>
      <c r="C210" s="215" t="n"/>
      <c r="D210" s="10" t="n"/>
      <c r="E210" s="10" t="inlineStr">
        <is>
          <t>估算</t>
        </is>
      </c>
      <c r="F210" s="10" t="n">
        <v>1000</v>
      </c>
      <c r="G210" s="11">
        <f>IF(OR($D210="",$F210=""),"",IF($F210&lt;=0,"",IF($D210/$F210*100&lt;=$F$3,"⚠️ 低库存","")))</f>
        <v/>
      </c>
      <c r="H210" s="10" t="n"/>
      <c r="I210" s="10" t="n"/>
    </row>
    <row r="211">
      <c r="A211" s="7" t="inlineStr">
        <is>
          <t>H · 黑白</t>
        </is>
      </c>
      <c r="B211" s="8" t="inlineStr">
        <is>
          <t>H23</t>
        </is>
      </c>
      <c r="C211" s="216" t="n"/>
      <c r="D211" s="10" t="n"/>
      <c r="E211" s="10" t="inlineStr">
        <is>
          <t>估算</t>
        </is>
      </c>
      <c r="F211" s="10" t="n">
        <v>1000</v>
      </c>
      <c r="G211" s="11">
        <f>IF(OR($D211="",$F211=""),"",IF($F211&lt;=0,"",IF($D211/$F211*100&lt;=$F$3,"⚠️ 低库存","")))</f>
        <v/>
      </c>
      <c r="H211" s="10" t="n"/>
      <c r="I211" s="10" t="n"/>
    </row>
    <row r="212">
      <c r="A212" s="7" t="inlineStr">
        <is>
          <t>M · 大地</t>
        </is>
      </c>
      <c r="B212" s="8" t="inlineStr">
        <is>
          <t>M1</t>
        </is>
      </c>
      <c r="C212" s="217" t="n"/>
      <c r="D212" s="10" t="n"/>
      <c r="E212" s="10" t="inlineStr">
        <is>
          <t>估算</t>
        </is>
      </c>
      <c r="F212" s="10" t="n">
        <v>1000</v>
      </c>
      <c r="G212" s="11">
        <f>IF(OR($D212="",$F212=""),"",IF($F212&lt;=0,"",IF($D212/$F212*100&lt;=$F$3,"⚠️ 低库存","")))</f>
        <v/>
      </c>
      <c r="H212" s="10" t="n"/>
      <c r="I212" s="10" t="n"/>
    </row>
    <row r="213">
      <c r="A213" s="7" t="inlineStr">
        <is>
          <t>M · 大地</t>
        </is>
      </c>
      <c r="B213" s="8" t="inlineStr">
        <is>
          <t>M2</t>
        </is>
      </c>
      <c r="C213" s="218" t="n"/>
      <c r="D213" s="10" t="n"/>
      <c r="E213" s="10" t="inlineStr">
        <is>
          <t>估算</t>
        </is>
      </c>
      <c r="F213" s="10" t="n">
        <v>1000</v>
      </c>
      <c r="G213" s="11">
        <f>IF(OR($D213="",$F213=""),"",IF($F213&lt;=0,"",IF($D213/$F213*100&lt;=$F$3,"⚠️ 低库存","")))</f>
        <v/>
      </c>
      <c r="H213" s="10" t="n"/>
      <c r="I213" s="10" t="n"/>
    </row>
    <row r="214">
      <c r="A214" s="7" t="inlineStr">
        <is>
          <t>M · 大地</t>
        </is>
      </c>
      <c r="B214" s="8" t="inlineStr">
        <is>
          <t>M3</t>
        </is>
      </c>
      <c r="C214" s="219" t="n"/>
      <c r="D214" s="10" t="n"/>
      <c r="E214" s="10" t="inlineStr">
        <is>
          <t>估算</t>
        </is>
      </c>
      <c r="F214" s="10" t="n">
        <v>1000</v>
      </c>
      <c r="G214" s="11">
        <f>IF(OR($D214="",$F214=""),"",IF($F214&lt;=0,"",IF($D214/$F214*100&lt;=$F$3,"⚠️ 低库存","")))</f>
        <v/>
      </c>
      <c r="H214" s="10" t="n"/>
      <c r="I214" s="10" t="n"/>
    </row>
    <row r="215">
      <c r="A215" s="7" t="inlineStr">
        <is>
          <t>M · 大地</t>
        </is>
      </c>
      <c r="B215" s="8" t="inlineStr">
        <is>
          <t>M4</t>
        </is>
      </c>
      <c r="C215" s="220" t="n"/>
      <c r="D215" s="10" t="n"/>
      <c r="E215" s="10" t="inlineStr">
        <is>
          <t>估算</t>
        </is>
      </c>
      <c r="F215" s="10" t="n">
        <v>1000</v>
      </c>
      <c r="G215" s="11">
        <f>IF(OR($D215="",$F215=""),"",IF($F215&lt;=0,"",IF($D215/$F215*100&lt;=$F$3,"⚠️ 低库存","")))</f>
        <v/>
      </c>
      <c r="H215" s="10" t="n"/>
      <c r="I215" s="10" t="n"/>
    </row>
    <row r="216">
      <c r="A216" s="7" t="inlineStr">
        <is>
          <t>M · 大地</t>
        </is>
      </c>
      <c r="B216" s="8" t="inlineStr">
        <is>
          <t>M5</t>
        </is>
      </c>
      <c r="C216" s="221" t="n"/>
      <c r="D216" s="10" t="n"/>
      <c r="E216" s="10" t="inlineStr">
        <is>
          <t>估算</t>
        </is>
      </c>
      <c r="F216" s="10" t="n">
        <v>1000</v>
      </c>
      <c r="G216" s="11">
        <f>IF(OR($D216="",$F216=""),"",IF($F216&lt;=0,"",IF($D216/$F216*100&lt;=$F$3,"⚠️ 低库存","")))</f>
        <v/>
      </c>
      <c r="H216" s="10" t="n"/>
      <c r="I216" s="10" t="n"/>
    </row>
    <row r="217">
      <c r="A217" s="7" t="inlineStr">
        <is>
          <t>M · 大地</t>
        </is>
      </c>
      <c r="B217" s="8" t="inlineStr">
        <is>
          <t>M6</t>
        </is>
      </c>
      <c r="C217" s="222" t="n"/>
      <c r="D217" s="10" t="n"/>
      <c r="E217" s="10" t="inlineStr">
        <is>
          <t>估算</t>
        </is>
      </c>
      <c r="F217" s="10" t="n">
        <v>1000</v>
      </c>
      <c r="G217" s="11">
        <f>IF(OR($D217="",$F217=""),"",IF($F217&lt;=0,"",IF($D217/$F217*100&lt;=$F$3,"⚠️ 低库存","")))</f>
        <v/>
      </c>
      <c r="H217" s="10" t="n"/>
      <c r="I217" s="10" t="n"/>
    </row>
    <row r="218">
      <c r="A218" s="7" t="inlineStr">
        <is>
          <t>M · 大地</t>
        </is>
      </c>
      <c r="B218" s="8" t="inlineStr">
        <is>
          <t>M7</t>
        </is>
      </c>
      <c r="C218" s="223" t="n"/>
      <c r="D218" s="10" t="n"/>
      <c r="E218" s="10" t="inlineStr">
        <is>
          <t>估算</t>
        </is>
      </c>
      <c r="F218" s="10" t="n">
        <v>1000</v>
      </c>
      <c r="G218" s="11">
        <f>IF(OR($D218="",$F218=""),"",IF($F218&lt;=0,"",IF($D218/$F218*100&lt;=$F$3,"⚠️ 低库存","")))</f>
        <v/>
      </c>
      <c r="H218" s="10" t="n"/>
      <c r="I218" s="10" t="n"/>
    </row>
    <row r="219">
      <c r="A219" s="7" t="inlineStr">
        <is>
          <t>M · 大地</t>
        </is>
      </c>
      <c r="B219" s="8" t="inlineStr">
        <is>
          <t>M8</t>
        </is>
      </c>
      <c r="C219" s="224" t="n"/>
      <c r="D219" s="10" t="n"/>
      <c r="E219" s="10" t="inlineStr">
        <is>
          <t>估算</t>
        </is>
      </c>
      <c r="F219" s="10" t="n">
        <v>1000</v>
      </c>
      <c r="G219" s="11">
        <f>IF(OR($D219="",$F219=""),"",IF($F219&lt;=0,"",IF($D219/$F219*100&lt;=$F$3,"⚠️ 低库存","")))</f>
        <v/>
      </c>
      <c r="H219" s="10" t="n"/>
      <c r="I219" s="10" t="n"/>
    </row>
    <row r="220">
      <c r="A220" s="7" t="inlineStr">
        <is>
          <t>M · 大地</t>
        </is>
      </c>
      <c r="B220" s="8" t="inlineStr">
        <is>
          <t>M9</t>
        </is>
      </c>
      <c r="C220" s="225" t="n"/>
      <c r="D220" s="10" t="n"/>
      <c r="E220" s="10" t="inlineStr">
        <is>
          <t>估算</t>
        </is>
      </c>
      <c r="F220" s="10" t="n">
        <v>1000</v>
      </c>
      <c r="G220" s="11">
        <f>IF(OR($D220="",$F220=""),"",IF($F220&lt;=0,"",IF($D220/$F220*100&lt;=$F$3,"⚠️ 低库存","")))</f>
        <v/>
      </c>
      <c r="H220" s="10" t="n"/>
      <c r="I220" s="10" t="n"/>
    </row>
    <row r="221">
      <c r="A221" s="7" t="inlineStr">
        <is>
          <t>M · 大地</t>
        </is>
      </c>
      <c r="B221" s="8" t="inlineStr">
        <is>
          <t>M10</t>
        </is>
      </c>
      <c r="C221" s="226" t="n"/>
      <c r="D221" s="10" t="n"/>
      <c r="E221" s="10" t="inlineStr">
        <is>
          <t>估算</t>
        </is>
      </c>
      <c r="F221" s="10" t="n">
        <v>1000</v>
      </c>
      <c r="G221" s="11">
        <f>IF(OR($D221="",$F221=""),"",IF($F221&lt;=0,"",IF($D221/$F221*100&lt;=$F$3,"⚠️ 低库存","")))</f>
        <v/>
      </c>
      <c r="H221" s="10" t="n"/>
      <c r="I221" s="10" t="n"/>
    </row>
    <row r="222">
      <c r="A222" s="7" t="inlineStr">
        <is>
          <t>M · 大地</t>
        </is>
      </c>
      <c r="B222" s="8" t="inlineStr">
        <is>
          <t>M11</t>
        </is>
      </c>
      <c r="C222" s="227" t="n"/>
      <c r="D222" s="10" t="n"/>
      <c r="E222" s="10" t="inlineStr">
        <is>
          <t>估算</t>
        </is>
      </c>
      <c r="F222" s="10" t="n">
        <v>1000</v>
      </c>
      <c r="G222" s="11">
        <f>IF(OR($D222="",$F222=""),"",IF($F222&lt;=0,"",IF($D222/$F222*100&lt;=$F$3,"⚠️ 低库存","")))</f>
        <v/>
      </c>
      <c r="H222" s="10" t="n"/>
      <c r="I222" s="10" t="n"/>
    </row>
    <row r="223">
      <c r="A223" s="7" t="inlineStr">
        <is>
          <t>M · 大地</t>
        </is>
      </c>
      <c r="B223" s="8" t="inlineStr">
        <is>
          <t>M12</t>
        </is>
      </c>
      <c r="C223" s="228" t="n"/>
      <c r="D223" s="10" t="n"/>
      <c r="E223" s="10" t="inlineStr">
        <is>
          <t>估算</t>
        </is>
      </c>
      <c r="F223" s="10" t="n">
        <v>1000</v>
      </c>
      <c r="G223" s="11">
        <f>IF(OR($D223="",$F223=""),"",IF($F223&lt;=0,"",IF($D223/$F223*100&lt;=$F$3,"⚠️ 低库存","")))</f>
        <v/>
      </c>
      <c r="H223" s="10" t="n"/>
      <c r="I223" s="10" t="n"/>
    </row>
    <row r="224">
      <c r="A224" s="7" t="inlineStr">
        <is>
          <t>M · 大地</t>
        </is>
      </c>
      <c r="B224" s="8" t="inlineStr">
        <is>
          <t>M13</t>
        </is>
      </c>
      <c r="C224" s="229" t="n"/>
      <c r="D224" s="10" t="n"/>
      <c r="E224" s="10" t="inlineStr">
        <is>
          <t>估算</t>
        </is>
      </c>
      <c r="F224" s="10" t="n">
        <v>1000</v>
      </c>
      <c r="G224" s="11">
        <f>IF(OR($D224="",$F224=""),"",IF($F224&lt;=0,"",IF($D224/$F224*100&lt;=$F$3,"⚠️ 低库存","")))</f>
        <v/>
      </c>
      <c r="H224" s="10" t="n"/>
      <c r="I224" s="10" t="n"/>
    </row>
    <row r="225">
      <c r="A225" s="7" t="inlineStr">
        <is>
          <t>M · 大地</t>
        </is>
      </c>
      <c r="B225" s="8" t="inlineStr">
        <is>
          <t>M14</t>
        </is>
      </c>
      <c r="C225" s="230" t="n"/>
      <c r="D225" s="10" t="n"/>
      <c r="E225" s="10" t="inlineStr">
        <is>
          <t>估算</t>
        </is>
      </c>
      <c r="F225" s="10" t="n">
        <v>1000</v>
      </c>
      <c r="G225" s="11">
        <f>IF(OR($D225="",$F225=""),"",IF($F225&lt;=0,"",IF($D225/$F225*100&lt;=$F$3,"⚠️ 低库存","")))</f>
        <v/>
      </c>
      <c r="H225" s="10" t="n"/>
      <c r="I225" s="10" t="n"/>
    </row>
    <row r="226">
      <c r="A226" s="7" t="inlineStr">
        <is>
          <t>M · 大地</t>
        </is>
      </c>
      <c r="B226" s="8" t="inlineStr">
        <is>
          <t>M15</t>
        </is>
      </c>
      <c r="C226" s="231" t="n"/>
      <c r="D226" s="10" t="n"/>
      <c r="E226" s="10" t="inlineStr">
        <is>
          <t>估算</t>
        </is>
      </c>
      <c r="F226" s="10" t="n">
        <v>1000</v>
      </c>
      <c r="G226" s="11">
        <f>IF(OR($D226="",$F226=""),"",IF($F226&lt;=0,"",IF($D226/$F226*100&lt;=$F$3,"⚠️ 低库存","")))</f>
        <v/>
      </c>
      <c r="H226" s="10" t="n"/>
      <c r="I226" s="10" t="n"/>
    </row>
  </sheetData>
  <autoFilter ref="A5:I226"/>
  <mergeCells count="2">
    <mergeCell ref="A1:I1"/>
    <mergeCell ref="A2:I2"/>
  </mergeCells>
  <conditionalFormatting sqref="A6:I226">
    <cfRule type="expression" priority="1" dxfId="0" stopIfTrue="0">
      <formula>$G6&lt;&gt;""</formula>
    </cfRule>
  </conditionalFormatting>
  <conditionalFormatting sqref="H6:H226">
    <cfRule type="dataBar" priority="2">
      <dataBar showValue="1">
        <cfvo type="num" val="0"/>
        <cfvo type="max"/>
        <color rgb="00FF9F1C"/>
      </dataBar>
    </cfRule>
  </conditionalFormatting>
  <dataValidations count="1">
    <dataValidation sqref="E6:E226" showDropDown="0" showInputMessage="0" showErrorMessage="0" allowBlank="1" type="list">
      <formula1>"估算,精确"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5A3C"/>
    <outlinePr summaryBelow="1" summaryRight="1"/>
    <pageSetUpPr/>
  </sheetPr>
  <dimension ref="A1:E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图纸缺口计算器</t>
        </is>
      </c>
    </row>
    <row r="2">
      <c r="A2" s="2" t="inlineStr">
        <is>
          <t>只需填写「色号」和「需求颗数」两列，库存自动查询；结果自动联动「补货清单」</t>
        </is>
      </c>
    </row>
    <row r="3">
      <c r="A3" s="3" t="inlineStr">
        <is>
          <t>图纸名称</t>
        </is>
      </c>
      <c r="B3" s="232" t="n"/>
    </row>
    <row r="4">
      <c r="A4" s="3" t="inlineStr">
        <is>
          <t>总需求(颗)</t>
        </is>
      </c>
      <c r="B4" s="4">
        <f>SUM(B8:B47)</f>
        <v/>
      </c>
      <c r="C4" s="3" t="inlineStr">
        <is>
          <t>涉及颜色数</t>
        </is>
      </c>
      <c r="D4" s="4">
        <f>COUNTIF(B8:B47,"&gt;0")</f>
        <v/>
      </c>
    </row>
    <row r="5">
      <c r="A5" s="3" t="inlineStr">
        <is>
          <t>总缺口(颗)</t>
        </is>
      </c>
      <c r="B5" s="4">
        <f>SUM(D8:D47)</f>
        <v/>
      </c>
      <c r="C5" s="3" t="inlineStr">
        <is>
          <t>可拼状态</t>
        </is>
      </c>
      <c r="D5" s="4">
        <f>IF(B5=0,"✅ 可拼","❌ 需补豆")</f>
        <v/>
      </c>
    </row>
    <row r="7">
      <c r="A7" s="6" t="inlineStr">
        <is>
          <t>色号</t>
        </is>
      </c>
      <c r="B7" s="6" t="inlineStr">
        <is>
          <t>需求颗数</t>
        </is>
      </c>
      <c r="C7" s="6" t="inlineStr">
        <is>
          <t>当前库存</t>
        </is>
      </c>
      <c r="D7" s="6" t="inlineStr">
        <is>
          <t>缺口</t>
        </is>
      </c>
      <c r="E7" s="6" t="inlineStr">
        <is>
          <t>预计余量</t>
        </is>
      </c>
    </row>
    <row r="8">
      <c r="A8" s="10" t="n"/>
      <c r="B8" s="10" t="n"/>
      <c r="C8" s="7">
        <f>IF($A8="","",IFERROR(N(VLOOKUP($A8,库存总览!$B$6:$D$226,3,FALSE)),0))</f>
        <v/>
      </c>
      <c r="D8" s="7">
        <f>IF(OR($A8="",$B8=""),"",MAX($B8-$C8,0))</f>
        <v/>
      </c>
      <c r="E8" s="7">
        <f>IF(OR($A8="",$B8=""),"",$C8-$B8)</f>
        <v/>
      </c>
    </row>
    <row r="9">
      <c r="A9" s="10" t="n"/>
      <c r="B9" s="10" t="n"/>
      <c r="C9" s="7">
        <f>IF($A9="","",IFERROR(N(VLOOKUP($A9,库存总览!$B$6:$D$226,3,FALSE)),0))</f>
        <v/>
      </c>
      <c r="D9" s="7">
        <f>IF(OR($A9="",$B9=""),"",MAX($B9-$C9,0))</f>
        <v/>
      </c>
      <c r="E9" s="7">
        <f>IF(OR($A9="",$B9=""),"",$C9-$B9)</f>
        <v/>
      </c>
    </row>
    <row r="10">
      <c r="A10" s="10" t="n"/>
      <c r="B10" s="10" t="n"/>
      <c r="C10" s="7">
        <f>IF($A10="","",IFERROR(N(VLOOKUP($A10,库存总览!$B$6:$D$226,3,FALSE)),0))</f>
        <v/>
      </c>
      <c r="D10" s="7">
        <f>IF(OR($A10="",$B10=""),"",MAX($B10-$C10,0))</f>
        <v/>
      </c>
      <c r="E10" s="7">
        <f>IF(OR($A10="",$B10=""),"",$C10-$B10)</f>
        <v/>
      </c>
    </row>
    <row r="11">
      <c r="A11" s="10" t="n"/>
      <c r="B11" s="10" t="n"/>
      <c r="C11" s="7">
        <f>IF($A11="","",IFERROR(N(VLOOKUP($A11,库存总览!$B$6:$D$226,3,FALSE)),0))</f>
        <v/>
      </c>
      <c r="D11" s="7">
        <f>IF(OR($A11="",$B11=""),"",MAX($B11-$C11,0))</f>
        <v/>
      </c>
      <c r="E11" s="7">
        <f>IF(OR($A11="",$B11=""),"",$C11-$B11)</f>
        <v/>
      </c>
    </row>
    <row r="12">
      <c r="A12" s="10" t="n"/>
      <c r="B12" s="10" t="n"/>
      <c r="C12" s="7">
        <f>IF($A12="","",IFERROR(N(VLOOKUP($A12,库存总览!$B$6:$D$226,3,FALSE)),0))</f>
        <v/>
      </c>
      <c r="D12" s="7">
        <f>IF(OR($A12="",$B12=""),"",MAX($B12-$C12,0))</f>
        <v/>
      </c>
      <c r="E12" s="7">
        <f>IF(OR($A12="",$B12=""),"",$C12-$B12)</f>
        <v/>
      </c>
    </row>
    <row r="13">
      <c r="A13" s="10" t="n"/>
      <c r="B13" s="10" t="n"/>
      <c r="C13" s="7">
        <f>IF($A13="","",IFERROR(N(VLOOKUP($A13,库存总览!$B$6:$D$226,3,FALSE)),0))</f>
        <v/>
      </c>
      <c r="D13" s="7">
        <f>IF(OR($A13="",$B13=""),"",MAX($B13-$C13,0))</f>
        <v/>
      </c>
      <c r="E13" s="7">
        <f>IF(OR($A13="",$B13=""),"",$C13-$B13)</f>
        <v/>
      </c>
    </row>
    <row r="14">
      <c r="A14" s="10" t="n"/>
      <c r="B14" s="10" t="n"/>
      <c r="C14" s="7">
        <f>IF($A14="","",IFERROR(N(VLOOKUP($A14,库存总览!$B$6:$D$226,3,FALSE)),0))</f>
        <v/>
      </c>
      <c r="D14" s="7">
        <f>IF(OR($A14="",$B14=""),"",MAX($B14-$C14,0))</f>
        <v/>
      </c>
      <c r="E14" s="7">
        <f>IF(OR($A14="",$B14=""),"",$C14-$B14)</f>
        <v/>
      </c>
    </row>
    <row r="15">
      <c r="A15" s="10" t="n"/>
      <c r="B15" s="10" t="n"/>
      <c r="C15" s="7">
        <f>IF($A15="","",IFERROR(N(VLOOKUP($A15,库存总览!$B$6:$D$226,3,FALSE)),0))</f>
        <v/>
      </c>
      <c r="D15" s="7">
        <f>IF(OR($A15="",$B15=""),"",MAX($B15-$C15,0))</f>
        <v/>
      </c>
      <c r="E15" s="7">
        <f>IF(OR($A15="",$B15=""),"",$C15-$B15)</f>
        <v/>
      </c>
    </row>
    <row r="16">
      <c r="A16" s="10" t="n"/>
      <c r="B16" s="10" t="n"/>
      <c r="C16" s="7">
        <f>IF($A16="","",IFERROR(N(VLOOKUP($A16,库存总览!$B$6:$D$226,3,FALSE)),0))</f>
        <v/>
      </c>
      <c r="D16" s="7">
        <f>IF(OR($A16="",$B16=""),"",MAX($B16-$C16,0))</f>
        <v/>
      </c>
      <c r="E16" s="7">
        <f>IF(OR($A16="",$B16=""),"",$C16-$B16)</f>
        <v/>
      </c>
    </row>
    <row r="17">
      <c r="A17" s="10" t="n"/>
      <c r="B17" s="10" t="n"/>
      <c r="C17" s="7">
        <f>IF($A17="","",IFERROR(N(VLOOKUP($A17,库存总览!$B$6:$D$226,3,FALSE)),0))</f>
        <v/>
      </c>
      <c r="D17" s="7">
        <f>IF(OR($A17="",$B17=""),"",MAX($B17-$C17,0))</f>
        <v/>
      </c>
      <c r="E17" s="7">
        <f>IF(OR($A17="",$B17=""),"",$C17-$B17)</f>
        <v/>
      </c>
    </row>
    <row r="18">
      <c r="A18" s="10" t="n"/>
      <c r="B18" s="10" t="n"/>
      <c r="C18" s="7">
        <f>IF($A18="","",IFERROR(N(VLOOKUP($A18,库存总览!$B$6:$D$226,3,FALSE)),0))</f>
        <v/>
      </c>
      <c r="D18" s="7">
        <f>IF(OR($A18="",$B18=""),"",MAX($B18-$C18,0))</f>
        <v/>
      </c>
      <c r="E18" s="7">
        <f>IF(OR($A18="",$B18=""),"",$C18-$B18)</f>
        <v/>
      </c>
    </row>
    <row r="19">
      <c r="A19" s="10" t="n"/>
      <c r="B19" s="10" t="n"/>
      <c r="C19" s="7">
        <f>IF($A19="","",IFERROR(N(VLOOKUP($A19,库存总览!$B$6:$D$226,3,FALSE)),0))</f>
        <v/>
      </c>
      <c r="D19" s="7">
        <f>IF(OR($A19="",$B19=""),"",MAX($B19-$C19,0))</f>
        <v/>
      </c>
      <c r="E19" s="7">
        <f>IF(OR($A19="",$B19=""),"",$C19-$B19)</f>
        <v/>
      </c>
    </row>
    <row r="20">
      <c r="A20" s="10" t="n"/>
      <c r="B20" s="10" t="n"/>
      <c r="C20" s="7">
        <f>IF($A20="","",IFERROR(N(VLOOKUP($A20,库存总览!$B$6:$D$226,3,FALSE)),0))</f>
        <v/>
      </c>
      <c r="D20" s="7">
        <f>IF(OR($A20="",$B20=""),"",MAX($B20-$C20,0))</f>
        <v/>
      </c>
      <c r="E20" s="7">
        <f>IF(OR($A20="",$B20=""),"",$C20-$B20)</f>
        <v/>
      </c>
    </row>
    <row r="21">
      <c r="A21" s="10" t="n"/>
      <c r="B21" s="10" t="n"/>
      <c r="C21" s="7">
        <f>IF($A21="","",IFERROR(N(VLOOKUP($A21,库存总览!$B$6:$D$226,3,FALSE)),0))</f>
        <v/>
      </c>
      <c r="D21" s="7">
        <f>IF(OR($A21="",$B21=""),"",MAX($B21-$C21,0))</f>
        <v/>
      </c>
      <c r="E21" s="7">
        <f>IF(OR($A21="",$B21=""),"",$C21-$B21)</f>
        <v/>
      </c>
    </row>
    <row r="22">
      <c r="A22" s="10" t="n"/>
      <c r="B22" s="10" t="n"/>
      <c r="C22" s="7">
        <f>IF($A22="","",IFERROR(N(VLOOKUP($A22,库存总览!$B$6:$D$226,3,FALSE)),0))</f>
        <v/>
      </c>
      <c r="D22" s="7">
        <f>IF(OR($A22="",$B22=""),"",MAX($B22-$C22,0))</f>
        <v/>
      </c>
      <c r="E22" s="7">
        <f>IF(OR($A22="",$B22=""),"",$C22-$B22)</f>
        <v/>
      </c>
    </row>
    <row r="23">
      <c r="A23" s="10" t="n"/>
      <c r="B23" s="10" t="n"/>
      <c r="C23" s="7">
        <f>IF($A23="","",IFERROR(N(VLOOKUP($A23,库存总览!$B$6:$D$226,3,FALSE)),0))</f>
        <v/>
      </c>
      <c r="D23" s="7">
        <f>IF(OR($A23="",$B23=""),"",MAX($B23-$C23,0))</f>
        <v/>
      </c>
      <c r="E23" s="7">
        <f>IF(OR($A23="",$B23=""),"",$C23-$B23)</f>
        <v/>
      </c>
    </row>
    <row r="24">
      <c r="A24" s="10" t="n"/>
      <c r="B24" s="10" t="n"/>
      <c r="C24" s="7">
        <f>IF($A24="","",IFERROR(N(VLOOKUP($A24,库存总览!$B$6:$D$226,3,FALSE)),0))</f>
        <v/>
      </c>
      <c r="D24" s="7">
        <f>IF(OR($A24="",$B24=""),"",MAX($B24-$C24,0))</f>
        <v/>
      </c>
      <c r="E24" s="7">
        <f>IF(OR($A24="",$B24=""),"",$C24-$B24)</f>
        <v/>
      </c>
    </row>
    <row r="25">
      <c r="A25" s="10" t="n"/>
      <c r="B25" s="10" t="n"/>
      <c r="C25" s="7">
        <f>IF($A25="","",IFERROR(N(VLOOKUP($A25,库存总览!$B$6:$D$226,3,FALSE)),0))</f>
        <v/>
      </c>
      <c r="D25" s="7">
        <f>IF(OR($A25="",$B25=""),"",MAX($B25-$C25,0))</f>
        <v/>
      </c>
      <c r="E25" s="7">
        <f>IF(OR($A25="",$B25=""),"",$C25-$B25)</f>
        <v/>
      </c>
    </row>
    <row r="26">
      <c r="A26" s="10" t="n"/>
      <c r="B26" s="10" t="n"/>
      <c r="C26" s="7">
        <f>IF($A26="","",IFERROR(N(VLOOKUP($A26,库存总览!$B$6:$D$226,3,FALSE)),0))</f>
        <v/>
      </c>
      <c r="D26" s="7">
        <f>IF(OR($A26="",$B26=""),"",MAX($B26-$C26,0))</f>
        <v/>
      </c>
      <c r="E26" s="7">
        <f>IF(OR($A26="",$B26=""),"",$C26-$B26)</f>
        <v/>
      </c>
    </row>
    <row r="27">
      <c r="A27" s="10" t="n"/>
      <c r="B27" s="10" t="n"/>
      <c r="C27" s="7">
        <f>IF($A27="","",IFERROR(N(VLOOKUP($A27,库存总览!$B$6:$D$226,3,FALSE)),0))</f>
        <v/>
      </c>
      <c r="D27" s="7">
        <f>IF(OR($A27="",$B27=""),"",MAX($B27-$C27,0))</f>
        <v/>
      </c>
      <c r="E27" s="7">
        <f>IF(OR($A27="",$B27=""),"",$C27-$B27)</f>
        <v/>
      </c>
    </row>
    <row r="28">
      <c r="A28" s="10" t="n"/>
      <c r="B28" s="10" t="n"/>
      <c r="C28" s="7">
        <f>IF($A28="","",IFERROR(N(VLOOKUP($A28,库存总览!$B$6:$D$226,3,FALSE)),0))</f>
        <v/>
      </c>
      <c r="D28" s="7">
        <f>IF(OR($A28="",$B28=""),"",MAX($B28-$C28,0))</f>
        <v/>
      </c>
      <c r="E28" s="7">
        <f>IF(OR($A28="",$B28=""),"",$C28-$B28)</f>
        <v/>
      </c>
    </row>
    <row r="29">
      <c r="A29" s="10" t="n"/>
      <c r="B29" s="10" t="n"/>
      <c r="C29" s="7">
        <f>IF($A29="","",IFERROR(N(VLOOKUP($A29,库存总览!$B$6:$D$226,3,FALSE)),0))</f>
        <v/>
      </c>
      <c r="D29" s="7">
        <f>IF(OR($A29="",$B29=""),"",MAX($B29-$C29,0))</f>
        <v/>
      </c>
      <c r="E29" s="7">
        <f>IF(OR($A29="",$B29=""),"",$C29-$B29)</f>
        <v/>
      </c>
    </row>
    <row r="30">
      <c r="A30" s="10" t="n"/>
      <c r="B30" s="10" t="n"/>
      <c r="C30" s="7">
        <f>IF($A30="","",IFERROR(N(VLOOKUP($A30,库存总览!$B$6:$D$226,3,FALSE)),0))</f>
        <v/>
      </c>
      <c r="D30" s="7">
        <f>IF(OR($A30="",$B30=""),"",MAX($B30-$C30,0))</f>
        <v/>
      </c>
      <c r="E30" s="7">
        <f>IF(OR($A30="",$B30=""),"",$C30-$B30)</f>
        <v/>
      </c>
    </row>
    <row r="31">
      <c r="A31" s="10" t="n"/>
      <c r="B31" s="10" t="n"/>
      <c r="C31" s="7">
        <f>IF($A31="","",IFERROR(N(VLOOKUP($A31,库存总览!$B$6:$D$226,3,FALSE)),0))</f>
        <v/>
      </c>
      <c r="D31" s="7">
        <f>IF(OR($A31="",$B31=""),"",MAX($B31-$C31,0))</f>
        <v/>
      </c>
      <c r="E31" s="7">
        <f>IF(OR($A31="",$B31=""),"",$C31-$B31)</f>
        <v/>
      </c>
    </row>
    <row r="32">
      <c r="A32" s="10" t="n"/>
      <c r="B32" s="10" t="n"/>
      <c r="C32" s="7">
        <f>IF($A32="","",IFERROR(N(VLOOKUP($A32,库存总览!$B$6:$D$226,3,FALSE)),0))</f>
        <v/>
      </c>
      <c r="D32" s="7">
        <f>IF(OR($A32="",$B32=""),"",MAX($B32-$C32,0))</f>
        <v/>
      </c>
      <c r="E32" s="7">
        <f>IF(OR($A32="",$B32=""),"",$C32-$B32)</f>
        <v/>
      </c>
    </row>
    <row r="33">
      <c r="A33" s="10" t="n"/>
      <c r="B33" s="10" t="n"/>
      <c r="C33" s="7">
        <f>IF($A33="","",IFERROR(N(VLOOKUP($A33,库存总览!$B$6:$D$226,3,FALSE)),0))</f>
        <v/>
      </c>
      <c r="D33" s="7">
        <f>IF(OR($A33="",$B33=""),"",MAX($B33-$C33,0))</f>
        <v/>
      </c>
      <c r="E33" s="7">
        <f>IF(OR($A33="",$B33=""),"",$C33-$B33)</f>
        <v/>
      </c>
    </row>
    <row r="34">
      <c r="A34" s="10" t="n"/>
      <c r="B34" s="10" t="n"/>
      <c r="C34" s="7">
        <f>IF($A34="","",IFERROR(N(VLOOKUP($A34,库存总览!$B$6:$D$226,3,FALSE)),0))</f>
        <v/>
      </c>
      <c r="D34" s="7">
        <f>IF(OR($A34="",$B34=""),"",MAX($B34-$C34,0))</f>
        <v/>
      </c>
      <c r="E34" s="7">
        <f>IF(OR($A34="",$B34=""),"",$C34-$B34)</f>
        <v/>
      </c>
    </row>
    <row r="35">
      <c r="A35" s="10" t="n"/>
      <c r="B35" s="10" t="n"/>
      <c r="C35" s="7">
        <f>IF($A35="","",IFERROR(N(VLOOKUP($A35,库存总览!$B$6:$D$226,3,FALSE)),0))</f>
        <v/>
      </c>
      <c r="D35" s="7">
        <f>IF(OR($A35="",$B35=""),"",MAX($B35-$C35,0))</f>
        <v/>
      </c>
      <c r="E35" s="7">
        <f>IF(OR($A35="",$B35=""),"",$C35-$B35)</f>
        <v/>
      </c>
    </row>
    <row r="36">
      <c r="A36" s="10" t="n"/>
      <c r="B36" s="10" t="n"/>
      <c r="C36" s="7">
        <f>IF($A36="","",IFERROR(N(VLOOKUP($A36,库存总览!$B$6:$D$226,3,FALSE)),0))</f>
        <v/>
      </c>
      <c r="D36" s="7">
        <f>IF(OR($A36="",$B36=""),"",MAX($B36-$C36,0))</f>
        <v/>
      </c>
      <c r="E36" s="7">
        <f>IF(OR($A36="",$B36=""),"",$C36-$B36)</f>
        <v/>
      </c>
    </row>
    <row r="37">
      <c r="A37" s="10" t="n"/>
      <c r="B37" s="10" t="n"/>
      <c r="C37" s="7">
        <f>IF($A37="","",IFERROR(N(VLOOKUP($A37,库存总览!$B$6:$D$226,3,FALSE)),0))</f>
        <v/>
      </c>
      <c r="D37" s="7">
        <f>IF(OR($A37="",$B37=""),"",MAX($B37-$C37,0))</f>
        <v/>
      </c>
      <c r="E37" s="7">
        <f>IF(OR($A37="",$B37=""),"",$C37-$B37)</f>
        <v/>
      </c>
    </row>
    <row r="38">
      <c r="A38" s="10" t="n"/>
      <c r="B38" s="10" t="n"/>
      <c r="C38" s="7">
        <f>IF($A38="","",IFERROR(N(VLOOKUP($A38,库存总览!$B$6:$D$226,3,FALSE)),0))</f>
        <v/>
      </c>
      <c r="D38" s="7">
        <f>IF(OR($A38="",$B38=""),"",MAX($B38-$C38,0))</f>
        <v/>
      </c>
      <c r="E38" s="7">
        <f>IF(OR($A38="",$B38=""),"",$C38-$B38)</f>
        <v/>
      </c>
    </row>
    <row r="39">
      <c r="A39" s="10" t="n"/>
      <c r="B39" s="10" t="n"/>
      <c r="C39" s="7">
        <f>IF($A39="","",IFERROR(N(VLOOKUP($A39,库存总览!$B$6:$D$226,3,FALSE)),0))</f>
        <v/>
      </c>
      <c r="D39" s="7">
        <f>IF(OR($A39="",$B39=""),"",MAX($B39-$C39,0))</f>
        <v/>
      </c>
      <c r="E39" s="7">
        <f>IF(OR($A39="",$B39=""),"",$C39-$B39)</f>
        <v/>
      </c>
    </row>
    <row r="40">
      <c r="A40" s="10" t="n"/>
      <c r="B40" s="10" t="n"/>
      <c r="C40" s="7">
        <f>IF($A40="","",IFERROR(N(VLOOKUP($A40,库存总览!$B$6:$D$226,3,FALSE)),0))</f>
        <v/>
      </c>
      <c r="D40" s="7">
        <f>IF(OR($A40="",$B40=""),"",MAX($B40-$C40,0))</f>
        <v/>
      </c>
      <c r="E40" s="7">
        <f>IF(OR($A40="",$B40=""),"",$C40-$B40)</f>
        <v/>
      </c>
    </row>
    <row r="41">
      <c r="A41" s="10" t="n"/>
      <c r="B41" s="10" t="n"/>
      <c r="C41" s="7">
        <f>IF($A41="","",IFERROR(N(VLOOKUP($A41,库存总览!$B$6:$D$226,3,FALSE)),0))</f>
        <v/>
      </c>
      <c r="D41" s="7">
        <f>IF(OR($A41="",$B41=""),"",MAX($B41-$C41,0))</f>
        <v/>
      </c>
      <c r="E41" s="7">
        <f>IF(OR($A41="",$B41=""),"",$C41-$B41)</f>
        <v/>
      </c>
    </row>
    <row r="42">
      <c r="A42" s="10" t="n"/>
      <c r="B42" s="10" t="n"/>
      <c r="C42" s="7">
        <f>IF($A42="","",IFERROR(N(VLOOKUP($A42,库存总览!$B$6:$D$226,3,FALSE)),0))</f>
        <v/>
      </c>
      <c r="D42" s="7">
        <f>IF(OR($A42="",$B42=""),"",MAX($B42-$C42,0))</f>
        <v/>
      </c>
      <c r="E42" s="7">
        <f>IF(OR($A42="",$B42=""),"",$C42-$B42)</f>
        <v/>
      </c>
    </row>
    <row r="43">
      <c r="A43" s="10" t="n"/>
      <c r="B43" s="10" t="n"/>
      <c r="C43" s="7">
        <f>IF($A43="","",IFERROR(N(VLOOKUP($A43,库存总览!$B$6:$D$226,3,FALSE)),0))</f>
        <v/>
      </c>
      <c r="D43" s="7">
        <f>IF(OR($A43="",$B43=""),"",MAX($B43-$C43,0))</f>
        <v/>
      </c>
      <c r="E43" s="7">
        <f>IF(OR($A43="",$B43=""),"",$C43-$B43)</f>
        <v/>
      </c>
    </row>
    <row r="44">
      <c r="A44" s="10" t="n"/>
      <c r="B44" s="10" t="n"/>
      <c r="C44" s="7">
        <f>IF($A44="","",IFERROR(N(VLOOKUP($A44,库存总览!$B$6:$D$226,3,FALSE)),0))</f>
        <v/>
      </c>
      <c r="D44" s="7">
        <f>IF(OR($A44="",$B44=""),"",MAX($B44-$C44,0))</f>
        <v/>
      </c>
      <c r="E44" s="7">
        <f>IF(OR($A44="",$B44=""),"",$C44-$B44)</f>
        <v/>
      </c>
    </row>
    <row r="45">
      <c r="A45" s="10" t="n"/>
      <c r="B45" s="10" t="n"/>
      <c r="C45" s="7">
        <f>IF($A45="","",IFERROR(N(VLOOKUP($A45,库存总览!$B$6:$D$226,3,FALSE)),0))</f>
        <v/>
      </c>
      <c r="D45" s="7">
        <f>IF(OR($A45="",$B45=""),"",MAX($B45-$C45,0))</f>
        <v/>
      </c>
      <c r="E45" s="7">
        <f>IF(OR($A45="",$B45=""),"",$C45-$B45)</f>
        <v/>
      </c>
    </row>
    <row r="46">
      <c r="A46" s="10" t="n"/>
      <c r="B46" s="10" t="n"/>
      <c r="C46" s="7">
        <f>IF($A46="","",IFERROR(N(VLOOKUP($A46,库存总览!$B$6:$D$226,3,FALSE)),0))</f>
        <v/>
      </c>
      <c r="D46" s="7">
        <f>IF(OR($A46="",$B46=""),"",MAX($B46-$C46,0))</f>
        <v/>
      </c>
      <c r="E46" s="7">
        <f>IF(OR($A46="",$B46=""),"",$C46-$B46)</f>
        <v/>
      </c>
    </row>
    <row r="47">
      <c r="A47" s="10" t="n"/>
      <c r="B47" s="10" t="n"/>
      <c r="C47" s="7">
        <f>IF($A47="","",IFERROR(N(VLOOKUP($A47,库存总览!$B$6:$D$226,3,FALSE)),0))</f>
        <v/>
      </c>
      <c r="D47" s="7">
        <f>IF(OR($A47="",$B47=""),"",MAX($B47-$C47,0))</f>
        <v/>
      </c>
      <c r="E47" s="7">
        <f>IF(OR($A47="",$B47=""),"",$C47-$B47)</f>
        <v/>
      </c>
    </row>
  </sheetData>
  <mergeCells count="3">
    <mergeCell ref="A2:E2"/>
    <mergeCell ref="A1:E1"/>
    <mergeCell ref="B3:E3"/>
  </mergeCells>
  <conditionalFormatting sqref="A8:E47">
    <cfRule type="expression" priority="1" dxfId="0">
      <formula>AND($D8&lt;&gt;"",$D8&gt;0)</formula>
    </cfRule>
    <cfRule type="expression" priority="2" dxfId="1">
      <formula>AND($B8&lt;&gt;"",$D8=0)</formula>
    </cfRule>
  </conditionalFormatting>
  <dataValidations count="1">
    <dataValidation sqref="A8:A47" showDropDown="0" showInputMessage="0" showErrorMessage="0" allowBlank="1" type="list">
      <formula1>=库存总览!$B$6:$B$226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C4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</cols>
  <sheetData>
    <row r="1">
      <c r="A1" s="1" t="inlineStr">
        <is>
          <t>补货清单</t>
        </is>
      </c>
    </row>
    <row r="2">
      <c r="A2" s="2" t="inlineStr">
        <is>
          <t>自动联动「图纸缺口计算器」，只列出有缺口的色号；可直接截图或复制去采购</t>
        </is>
      </c>
    </row>
    <row r="3">
      <c r="A3" s="3" t="inlineStr">
        <is>
          <t>图纸</t>
        </is>
      </c>
      <c r="B3" s="4">
        <f>图纸缺口计算器!B3</f>
        <v/>
      </c>
    </row>
    <row r="5">
      <c r="A5" s="6" t="inlineStr">
        <is>
          <t>色号</t>
        </is>
      </c>
      <c r="B5" s="6" t="inlineStr">
        <is>
          <t>需补颗数</t>
        </is>
      </c>
      <c r="C5" s="6" t="inlineStr">
        <is>
          <t>备注</t>
        </is>
      </c>
    </row>
    <row r="6">
      <c r="A6" s="7">
        <f>IF(OR(图纸缺口计算器!$D8="",图纸缺口计算器!$D8=0),"",图纸缺口计算器!$A8)</f>
        <v/>
      </c>
      <c r="B6" s="7">
        <f>IF(OR(图纸缺口计算器!$D8="",图纸缺口计算器!$D8=0),"",图纸缺口计算器!$D8)</f>
        <v/>
      </c>
      <c r="C6" s="7" t="n"/>
    </row>
    <row r="7">
      <c r="A7" s="7">
        <f>IF(OR(图纸缺口计算器!$D9="",图纸缺口计算器!$D9=0),"",图纸缺口计算器!$A9)</f>
        <v/>
      </c>
      <c r="B7" s="7">
        <f>IF(OR(图纸缺口计算器!$D9="",图纸缺口计算器!$D9=0),"",图纸缺口计算器!$D9)</f>
        <v/>
      </c>
      <c r="C7" s="7" t="n"/>
    </row>
    <row r="8">
      <c r="A8" s="7">
        <f>IF(OR(图纸缺口计算器!$D10="",图纸缺口计算器!$D10=0),"",图纸缺口计算器!$A10)</f>
        <v/>
      </c>
      <c r="B8" s="7">
        <f>IF(OR(图纸缺口计算器!$D10="",图纸缺口计算器!$D10=0),"",图纸缺口计算器!$D10)</f>
        <v/>
      </c>
      <c r="C8" s="7" t="n"/>
    </row>
    <row r="9">
      <c r="A9" s="7">
        <f>IF(OR(图纸缺口计算器!$D11="",图纸缺口计算器!$D11=0),"",图纸缺口计算器!$A11)</f>
        <v/>
      </c>
      <c r="B9" s="7">
        <f>IF(OR(图纸缺口计算器!$D11="",图纸缺口计算器!$D11=0),"",图纸缺口计算器!$D11)</f>
        <v/>
      </c>
      <c r="C9" s="7" t="n"/>
    </row>
    <row r="10">
      <c r="A10" s="7">
        <f>IF(OR(图纸缺口计算器!$D12="",图纸缺口计算器!$D12=0),"",图纸缺口计算器!$A12)</f>
        <v/>
      </c>
      <c r="B10" s="7">
        <f>IF(OR(图纸缺口计算器!$D12="",图纸缺口计算器!$D12=0),"",图纸缺口计算器!$D12)</f>
        <v/>
      </c>
      <c r="C10" s="7" t="n"/>
    </row>
    <row r="11">
      <c r="A11" s="7">
        <f>IF(OR(图纸缺口计算器!$D13="",图纸缺口计算器!$D13=0),"",图纸缺口计算器!$A13)</f>
        <v/>
      </c>
      <c r="B11" s="7">
        <f>IF(OR(图纸缺口计算器!$D13="",图纸缺口计算器!$D13=0),"",图纸缺口计算器!$D13)</f>
        <v/>
      </c>
      <c r="C11" s="7" t="n"/>
    </row>
    <row r="12">
      <c r="A12" s="7">
        <f>IF(OR(图纸缺口计算器!$D14="",图纸缺口计算器!$D14=0),"",图纸缺口计算器!$A14)</f>
        <v/>
      </c>
      <c r="B12" s="7">
        <f>IF(OR(图纸缺口计算器!$D14="",图纸缺口计算器!$D14=0),"",图纸缺口计算器!$D14)</f>
        <v/>
      </c>
      <c r="C12" s="7" t="n"/>
    </row>
    <row r="13">
      <c r="A13" s="7">
        <f>IF(OR(图纸缺口计算器!$D15="",图纸缺口计算器!$D15=0),"",图纸缺口计算器!$A15)</f>
        <v/>
      </c>
      <c r="B13" s="7">
        <f>IF(OR(图纸缺口计算器!$D15="",图纸缺口计算器!$D15=0),"",图纸缺口计算器!$D15)</f>
        <v/>
      </c>
      <c r="C13" s="7" t="n"/>
    </row>
    <row r="14">
      <c r="A14" s="7">
        <f>IF(OR(图纸缺口计算器!$D16="",图纸缺口计算器!$D16=0),"",图纸缺口计算器!$A16)</f>
        <v/>
      </c>
      <c r="B14" s="7">
        <f>IF(OR(图纸缺口计算器!$D16="",图纸缺口计算器!$D16=0),"",图纸缺口计算器!$D16)</f>
        <v/>
      </c>
      <c r="C14" s="7" t="n"/>
    </row>
    <row r="15">
      <c r="A15" s="7">
        <f>IF(OR(图纸缺口计算器!$D17="",图纸缺口计算器!$D17=0),"",图纸缺口计算器!$A17)</f>
        <v/>
      </c>
      <c r="B15" s="7">
        <f>IF(OR(图纸缺口计算器!$D17="",图纸缺口计算器!$D17=0),"",图纸缺口计算器!$D17)</f>
        <v/>
      </c>
      <c r="C15" s="7" t="n"/>
    </row>
    <row r="16">
      <c r="A16" s="7">
        <f>IF(OR(图纸缺口计算器!$D18="",图纸缺口计算器!$D18=0),"",图纸缺口计算器!$A18)</f>
        <v/>
      </c>
      <c r="B16" s="7">
        <f>IF(OR(图纸缺口计算器!$D18="",图纸缺口计算器!$D18=0),"",图纸缺口计算器!$D18)</f>
        <v/>
      </c>
      <c r="C16" s="7" t="n"/>
    </row>
    <row r="17">
      <c r="A17" s="7">
        <f>IF(OR(图纸缺口计算器!$D19="",图纸缺口计算器!$D19=0),"",图纸缺口计算器!$A19)</f>
        <v/>
      </c>
      <c r="B17" s="7">
        <f>IF(OR(图纸缺口计算器!$D19="",图纸缺口计算器!$D19=0),"",图纸缺口计算器!$D19)</f>
        <v/>
      </c>
      <c r="C17" s="7" t="n"/>
    </row>
    <row r="18">
      <c r="A18" s="7">
        <f>IF(OR(图纸缺口计算器!$D20="",图纸缺口计算器!$D20=0),"",图纸缺口计算器!$A20)</f>
        <v/>
      </c>
      <c r="B18" s="7">
        <f>IF(OR(图纸缺口计算器!$D20="",图纸缺口计算器!$D20=0),"",图纸缺口计算器!$D20)</f>
        <v/>
      </c>
      <c r="C18" s="7" t="n"/>
    </row>
    <row r="19">
      <c r="A19" s="7">
        <f>IF(OR(图纸缺口计算器!$D21="",图纸缺口计算器!$D21=0),"",图纸缺口计算器!$A21)</f>
        <v/>
      </c>
      <c r="B19" s="7">
        <f>IF(OR(图纸缺口计算器!$D21="",图纸缺口计算器!$D21=0),"",图纸缺口计算器!$D21)</f>
        <v/>
      </c>
      <c r="C19" s="7" t="n"/>
    </row>
    <row r="20">
      <c r="A20" s="7">
        <f>IF(OR(图纸缺口计算器!$D22="",图纸缺口计算器!$D22=0),"",图纸缺口计算器!$A22)</f>
        <v/>
      </c>
      <c r="B20" s="7">
        <f>IF(OR(图纸缺口计算器!$D22="",图纸缺口计算器!$D22=0),"",图纸缺口计算器!$D22)</f>
        <v/>
      </c>
      <c r="C20" s="7" t="n"/>
    </row>
    <row r="21">
      <c r="A21" s="7">
        <f>IF(OR(图纸缺口计算器!$D23="",图纸缺口计算器!$D23=0),"",图纸缺口计算器!$A23)</f>
        <v/>
      </c>
      <c r="B21" s="7">
        <f>IF(OR(图纸缺口计算器!$D23="",图纸缺口计算器!$D23=0),"",图纸缺口计算器!$D23)</f>
        <v/>
      </c>
      <c r="C21" s="7" t="n"/>
    </row>
    <row r="22">
      <c r="A22" s="7">
        <f>IF(OR(图纸缺口计算器!$D24="",图纸缺口计算器!$D24=0),"",图纸缺口计算器!$A24)</f>
        <v/>
      </c>
      <c r="B22" s="7">
        <f>IF(OR(图纸缺口计算器!$D24="",图纸缺口计算器!$D24=0),"",图纸缺口计算器!$D24)</f>
        <v/>
      </c>
      <c r="C22" s="7" t="n"/>
    </row>
    <row r="23">
      <c r="A23" s="7">
        <f>IF(OR(图纸缺口计算器!$D25="",图纸缺口计算器!$D25=0),"",图纸缺口计算器!$A25)</f>
        <v/>
      </c>
      <c r="B23" s="7">
        <f>IF(OR(图纸缺口计算器!$D25="",图纸缺口计算器!$D25=0),"",图纸缺口计算器!$D25)</f>
        <v/>
      </c>
      <c r="C23" s="7" t="n"/>
    </row>
    <row r="24">
      <c r="A24" s="7">
        <f>IF(OR(图纸缺口计算器!$D26="",图纸缺口计算器!$D26=0),"",图纸缺口计算器!$A26)</f>
        <v/>
      </c>
      <c r="B24" s="7">
        <f>IF(OR(图纸缺口计算器!$D26="",图纸缺口计算器!$D26=0),"",图纸缺口计算器!$D26)</f>
        <v/>
      </c>
      <c r="C24" s="7" t="n"/>
    </row>
    <row r="25">
      <c r="A25" s="7">
        <f>IF(OR(图纸缺口计算器!$D27="",图纸缺口计算器!$D27=0),"",图纸缺口计算器!$A27)</f>
        <v/>
      </c>
      <c r="B25" s="7">
        <f>IF(OR(图纸缺口计算器!$D27="",图纸缺口计算器!$D27=0),"",图纸缺口计算器!$D27)</f>
        <v/>
      </c>
      <c r="C25" s="7" t="n"/>
    </row>
    <row r="26">
      <c r="A26" s="7">
        <f>IF(OR(图纸缺口计算器!$D28="",图纸缺口计算器!$D28=0),"",图纸缺口计算器!$A28)</f>
        <v/>
      </c>
      <c r="B26" s="7">
        <f>IF(OR(图纸缺口计算器!$D28="",图纸缺口计算器!$D28=0),"",图纸缺口计算器!$D28)</f>
        <v/>
      </c>
      <c r="C26" s="7" t="n"/>
    </row>
    <row r="27">
      <c r="A27" s="7">
        <f>IF(OR(图纸缺口计算器!$D29="",图纸缺口计算器!$D29=0),"",图纸缺口计算器!$A29)</f>
        <v/>
      </c>
      <c r="B27" s="7">
        <f>IF(OR(图纸缺口计算器!$D29="",图纸缺口计算器!$D29=0),"",图纸缺口计算器!$D29)</f>
        <v/>
      </c>
      <c r="C27" s="7" t="n"/>
    </row>
    <row r="28">
      <c r="A28" s="7">
        <f>IF(OR(图纸缺口计算器!$D30="",图纸缺口计算器!$D30=0),"",图纸缺口计算器!$A30)</f>
        <v/>
      </c>
      <c r="B28" s="7">
        <f>IF(OR(图纸缺口计算器!$D30="",图纸缺口计算器!$D30=0),"",图纸缺口计算器!$D30)</f>
        <v/>
      </c>
      <c r="C28" s="7" t="n"/>
    </row>
    <row r="29">
      <c r="A29" s="7">
        <f>IF(OR(图纸缺口计算器!$D31="",图纸缺口计算器!$D31=0),"",图纸缺口计算器!$A31)</f>
        <v/>
      </c>
      <c r="B29" s="7">
        <f>IF(OR(图纸缺口计算器!$D31="",图纸缺口计算器!$D31=0),"",图纸缺口计算器!$D31)</f>
        <v/>
      </c>
      <c r="C29" s="7" t="n"/>
    </row>
    <row r="30">
      <c r="A30" s="7">
        <f>IF(OR(图纸缺口计算器!$D32="",图纸缺口计算器!$D32=0),"",图纸缺口计算器!$A32)</f>
        <v/>
      </c>
      <c r="B30" s="7">
        <f>IF(OR(图纸缺口计算器!$D32="",图纸缺口计算器!$D32=0),"",图纸缺口计算器!$D32)</f>
        <v/>
      </c>
      <c r="C30" s="7" t="n"/>
    </row>
    <row r="31">
      <c r="A31" s="7">
        <f>IF(OR(图纸缺口计算器!$D33="",图纸缺口计算器!$D33=0),"",图纸缺口计算器!$A33)</f>
        <v/>
      </c>
      <c r="B31" s="7">
        <f>IF(OR(图纸缺口计算器!$D33="",图纸缺口计算器!$D33=0),"",图纸缺口计算器!$D33)</f>
        <v/>
      </c>
      <c r="C31" s="7" t="n"/>
    </row>
    <row r="32">
      <c r="A32" s="7">
        <f>IF(OR(图纸缺口计算器!$D34="",图纸缺口计算器!$D34=0),"",图纸缺口计算器!$A34)</f>
        <v/>
      </c>
      <c r="B32" s="7">
        <f>IF(OR(图纸缺口计算器!$D34="",图纸缺口计算器!$D34=0),"",图纸缺口计算器!$D34)</f>
        <v/>
      </c>
      <c r="C32" s="7" t="n"/>
    </row>
    <row r="33">
      <c r="A33" s="7">
        <f>IF(OR(图纸缺口计算器!$D35="",图纸缺口计算器!$D35=0),"",图纸缺口计算器!$A35)</f>
        <v/>
      </c>
      <c r="B33" s="7">
        <f>IF(OR(图纸缺口计算器!$D35="",图纸缺口计算器!$D35=0),"",图纸缺口计算器!$D35)</f>
        <v/>
      </c>
      <c r="C33" s="7" t="n"/>
    </row>
    <row r="34">
      <c r="A34" s="7">
        <f>IF(OR(图纸缺口计算器!$D36="",图纸缺口计算器!$D36=0),"",图纸缺口计算器!$A36)</f>
        <v/>
      </c>
      <c r="B34" s="7">
        <f>IF(OR(图纸缺口计算器!$D36="",图纸缺口计算器!$D36=0),"",图纸缺口计算器!$D36)</f>
        <v/>
      </c>
      <c r="C34" s="7" t="n"/>
    </row>
    <row r="35">
      <c r="A35" s="7">
        <f>IF(OR(图纸缺口计算器!$D37="",图纸缺口计算器!$D37=0),"",图纸缺口计算器!$A37)</f>
        <v/>
      </c>
      <c r="B35" s="7">
        <f>IF(OR(图纸缺口计算器!$D37="",图纸缺口计算器!$D37=0),"",图纸缺口计算器!$D37)</f>
        <v/>
      </c>
      <c r="C35" s="7" t="n"/>
    </row>
    <row r="36">
      <c r="A36" s="7">
        <f>IF(OR(图纸缺口计算器!$D38="",图纸缺口计算器!$D38=0),"",图纸缺口计算器!$A38)</f>
        <v/>
      </c>
      <c r="B36" s="7">
        <f>IF(OR(图纸缺口计算器!$D38="",图纸缺口计算器!$D38=0),"",图纸缺口计算器!$D38)</f>
        <v/>
      </c>
      <c r="C36" s="7" t="n"/>
    </row>
    <row r="37">
      <c r="A37" s="7">
        <f>IF(OR(图纸缺口计算器!$D39="",图纸缺口计算器!$D39=0),"",图纸缺口计算器!$A39)</f>
        <v/>
      </c>
      <c r="B37" s="7">
        <f>IF(OR(图纸缺口计算器!$D39="",图纸缺口计算器!$D39=0),"",图纸缺口计算器!$D39)</f>
        <v/>
      </c>
      <c r="C37" s="7" t="n"/>
    </row>
    <row r="38">
      <c r="A38" s="7">
        <f>IF(OR(图纸缺口计算器!$D40="",图纸缺口计算器!$D40=0),"",图纸缺口计算器!$A40)</f>
        <v/>
      </c>
      <c r="B38" s="7">
        <f>IF(OR(图纸缺口计算器!$D40="",图纸缺口计算器!$D40=0),"",图纸缺口计算器!$D40)</f>
        <v/>
      </c>
      <c r="C38" s="7" t="n"/>
    </row>
    <row r="39">
      <c r="A39" s="7">
        <f>IF(OR(图纸缺口计算器!$D41="",图纸缺口计算器!$D41=0),"",图纸缺口计算器!$A41)</f>
        <v/>
      </c>
      <c r="B39" s="7">
        <f>IF(OR(图纸缺口计算器!$D41="",图纸缺口计算器!$D41=0),"",图纸缺口计算器!$D41)</f>
        <v/>
      </c>
      <c r="C39" s="7" t="n"/>
    </row>
    <row r="40">
      <c r="A40" s="7">
        <f>IF(OR(图纸缺口计算器!$D42="",图纸缺口计算器!$D42=0),"",图纸缺口计算器!$A42)</f>
        <v/>
      </c>
      <c r="B40" s="7">
        <f>IF(OR(图纸缺口计算器!$D42="",图纸缺口计算器!$D42=0),"",图纸缺口计算器!$D42)</f>
        <v/>
      </c>
      <c r="C40" s="7" t="n"/>
    </row>
    <row r="41">
      <c r="A41" s="7">
        <f>IF(OR(图纸缺口计算器!$D43="",图纸缺口计算器!$D43=0),"",图纸缺口计算器!$A43)</f>
        <v/>
      </c>
      <c r="B41" s="7">
        <f>IF(OR(图纸缺口计算器!$D43="",图纸缺口计算器!$D43=0),"",图纸缺口计算器!$D43)</f>
        <v/>
      </c>
      <c r="C41" s="7" t="n"/>
    </row>
    <row r="42">
      <c r="A42" s="7">
        <f>IF(OR(图纸缺口计算器!$D44="",图纸缺口计算器!$D44=0),"",图纸缺口计算器!$A44)</f>
        <v/>
      </c>
      <c r="B42" s="7">
        <f>IF(OR(图纸缺口计算器!$D44="",图纸缺口计算器!$D44=0),"",图纸缺口计算器!$D44)</f>
        <v/>
      </c>
      <c r="C42" s="7" t="n"/>
    </row>
    <row r="43">
      <c r="A43" s="7">
        <f>IF(OR(图纸缺口计算器!$D45="",图纸缺口计算器!$D45=0),"",图纸缺口计算器!$A45)</f>
        <v/>
      </c>
      <c r="B43" s="7">
        <f>IF(OR(图纸缺口计算器!$D45="",图纸缺口计算器!$D45=0),"",图纸缺口计算器!$D45)</f>
        <v/>
      </c>
      <c r="C43" s="7" t="n"/>
    </row>
    <row r="44">
      <c r="A44" s="7">
        <f>IF(OR(图纸缺口计算器!$D46="",图纸缺口计算器!$D46=0),"",图纸缺口计算器!$A46)</f>
        <v/>
      </c>
      <c r="B44" s="7">
        <f>IF(OR(图纸缺口计算器!$D46="",图纸缺口计算器!$D46=0),"",图纸缺口计算器!$D46)</f>
        <v/>
      </c>
      <c r="C44" s="7" t="n"/>
    </row>
    <row r="45">
      <c r="A45" s="7">
        <f>IF(OR(图纸缺口计算器!$D47="",图纸缺口计算器!$D47=0),"",图纸缺口计算器!$A47)</f>
        <v/>
      </c>
      <c r="B45" s="7">
        <f>IF(OR(图纸缺口计算器!$D47="",图纸缺口计算器!$D47=0),"",图纸缺口计算器!$D47)</f>
        <v/>
      </c>
      <c r="C45" s="7" t="n"/>
    </row>
    <row r="46">
      <c r="A46" s="4" t="inlineStr">
        <is>
          <t>合计</t>
        </is>
      </c>
      <c r="B46" s="4">
        <f>SUM(B6:B45)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33" t="inlineStr">
        <is>
          <t>豆计 · MARD 221 拼豆库存表（增强版）— 使用说明</t>
        </is>
      </c>
    </row>
    <row r="2">
      <c r="A2" s="234" t="inlineStr"/>
    </row>
    <row r="3">
      <c r="A3" s="235" t="inlineStr">
        <is>
          <t>【这是什么】</t>
        </is>
      </c>
    </row>
    <row r="4">
      <c r="A4" s="234" t="inlineStr">
        <is>
          <t>一张开箱即用的拼豆库存管理表，覆盖小红书流传的 221 色库存表的全部能力，并补上它缺的三件事：</t>
        </is>
      </c>
    </row>
    <row r="5">
      <c r="A5" s="234" t="inlineStr">
        <is>
          <t>低库存自动预警、图纸缺口计算、补货清单自动生成。是「豆计」App 的 Excel 钩子版本。</t>
        </is>
      </c>
    </row>
    <row r="6">
      <c r="A6" s="234" t="inlineStr"/>
    </row>
    <row r="7">
      <c r="A7" s="235" t="inlineStr">
        <is>
          <t>【快速开始】</t>
        </is>
      </c>
    </row>
    <row r="8">
      <c r="A8" s="234" t="inlineStr">
        <is>
          <t>1. 打开「库存总览」，在「当前库存」列逐色录入你手上的豆子颗数（未录入色号保持空白即可，不参与统计）。</t>
        </is>
      </c>
    </row>
    <row r="9">
      <c r="A9" s="234" t="inlineStr">
        <is>
          <t>2. 「预警基准」默认 1000 颗（拼豆常见袋装量），可按实际改；「预警比例」默认 10%，在表头 F3 修改。</t>
        </is>
      </c>
    </row>
    <row r="10">
      <c r="A10" s="234" t="inlineStr">
        <is>
          <t>3. 「精度」列标记估算/精确：数过的选精确，估的保留估算，提醒哪些数字要谨慎参考。</t>
        </is>
      </c>
    </row>
    <row r="11">
      <c r="A11" s="234" t="inlineStr">
        <is>
          <t>4. 想拼某张图：打开「图纸缺口计算器」，只填色号和需求颗数，自动查出库存、缺口、余量和可拼状态。</t>
        </is>
      </c>
    </row>
    <row r="12">
      <c r="A12" s="234" t="inlineStr">
        <is>
          <t>5. 打开「补货清单」，缺什么色、各补多少颗一目了然，截图即可去下单。</t>
        </is>
      </c>
    </row>
    <row r="13">
      <c r="A13" s="234" t="inlineStr">
        <is>
          <t>6. 拼完一张图，把各色实际用量加进「库存总览」的「累计已用」列——橙色数据条越长，越是你的高频色。</t>
        </is>
      </c>
    </row>
    <row r="14">
      <c r="A14" s="234" t="inlineStr"/>
    </row>
    <row r="15">
      <c r="A15" s="235" t="inlineStr">
        <is>
          <t>【规则说明（与豆计 App 同一套记账规则）】</t>
        </is>
      </c>
    </row>
    <row r="16">
      <c r="A16" s="234" t="inlineStr">
        <is>
          <t>· 预警基准：以该色首次录入或最近一次补货后的数量为基准，消耗、更正不重置基准。</t>
        </is>
      </c>
    </row>
    <row r="17">
      <c r="A17" s="234" t="inlineStr">
        <is>
          <t>· 低库存判定：当前库存 ÷ 预警基准 ≤ 预警比例（默认 10%）时整行标红。</t>
        </is>
      </c>
    </row>
    <row r="18">
      <c r="A18" s="234" t="inlineStr">
        <is>
          <t>· 缺口 = MAX(需求 − 库存, 0)；预计余量 = 库存 − 需求；预估不改库存，扣减靠手工录入新余额。</t>
        </is>
      </c>
    </row>
    <row r="19">
      <c r="A19" s="234" t="inlineStr">
        <is>
          <t>· 库存余额为非负整数；不要把表格算出的负余量当成实际欠账。</t>
        </is>
      </c>
    </row>
    <row r="20">
      <c r="A20" s="234" t="inlineStr"/>
    </row>
    <row r="21">
      <c r="A21" s="235" t="inlineStr">
        <is>
          <t>【数据来源与免责】</t>
        </is>
      </c>
    </row>
    <row r="22">
      <c r="A22" s="234" t="inlineStr">
        <is>
          <t>· 色号集合：MARD 221（9 色系 221 色），与豆计项目仓库色卡一致。</t>
        </is>
      </c>
    </row>
    <row r="23">
      <c r="A23" s="234" t="inlineStr">
        <is>
          <t>· 参考色：社区版屏幕参考色，非 MARD 官方精确色值，仅供辨认，记账以色号为准。</t>
        </is>
      </c>
    </row>
    <row r="24">
      <c r="A24" s="234" t="inlineStr">
        <is>
          <t>· 来源：github.com/qinqiana/pindou-calculate · research/MARD221-参考色值-社区来源.csv</t>
        </is>
      </c>
    </row>
    <row r="25">
      <c r="A25" s="234" t="inlineStr"/>
    </row>
    <row r="26">
      <c r="A26" s="236" t="inlineStr">
        <is>
          <t>【后续路线】JSA 宏版（批量盘点/变动留痕）→ WPS JS 加载项（图纸管理 + 与豆计 App 备份互通）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2026-09-15T16:36:28Z</dcterms:created>
  <dcterms:modified xmlns:dcterms="http://purl.org/dc/terms/" xmlns:xsi="http://www.w3.org/2001/XMLSchema-instance" xsi:type="dcterms:W3CDTF">2026-09-15T16:36:28Z</dcterms:modified>
</cp:coreProperties>
</file>